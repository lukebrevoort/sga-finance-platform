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stevens0.sharepoint.com/sites/StudentOrganizationsinStudentAffairs/Shared Documents/SGA/Committees/Budget/Current Budget Committee F25/Weekly Budget Drive/"/>
    </mc:Choice>
  </mc:AlternateContent>
  <xr:revisionPtr revIDLastSave="0" documentId="8_{662F852F-2337-470E-96F0-5DCC6C323AE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FRs" sheetId="1" r:id="rId1"/>
    <sheet name="Reallocation" sheetId="2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4" i="1" l="1"/>
  <c r="H454" i="1"/>
  <c r="I454" i="1"/>
  <c r="E450" i="1"/>
  <c r="H450" i="1"/>
  <c r="I450" i="1"/>
  <c r="E451" i="1"/>
  <c r="H451" i="1"/>
  <c r="I451" i="1"/>
  <c r="E452" i="1"/>
  <c r="H452" i="1"/>
  <c r="I452" i="1"/>
  <c r="E453" i="1"/>
  <c r="H453" i="1"/>
  <c r="I453" i="1"/>
  <c r="E458" i="1"/>
  <c r="H458" i="1"/>
  <c r="I458" i="1"/>
  <c r="D438" i="1"/>
  <c r="E436" i="1"/>
  <c r="E437" i="1"/>
  <c r="H437" i="1"/>
  <c r="I437" i="1"/>
  <c r="I427" i="1"/>
  <c r="I428" i="1"/>
  <c r="I429" i="1"/>
  <c r="E424" i="1"/>
  <c r="H424" i="1"/>
  <c r="I424" i="1"/>
  <c r="E425" i="1"/>
  <c r="H425" i="1"/>
  <c r="I425" i="1"/>
  <c r="E426" i="1"/>
  <c r="H426" i="1"/>
  <c r="I426" i="1"/>
  <c r="E427" i="1"/>
  <c r="H427" i="1"/>
  <c r="E428" i="1"/>
  <c r="H428" i="1"/>
  <c r="E429" i="1"/>
  <c r="H429" i="1"/>
  <c r="E430" i="1"/>
  <c r="H430" i="1"/>
  <c r="I430" i="1"/>
  <c r="E431" i="1"/>
  <c r="H431" i="1"/>
  <c r="I431" i="1"/>
  <c r="E432" i="1"/>
  <c r="H432" i="1"/>
  <c r="I432" i="1"/>
  <c r="E433" i="1"/>
  <c r="H433" i="1"/>
  <c r="I433" i="1"/>
  <c r="E434" i="1"/>
  <c r="H434" i="1"/>
  <c r="I434" i="1"/>
  <c r="E435" i="1"/>
  <c r="H435" i="1"/>
  <c r="I435" i="1"/>
  <c r="H436" i="1"/>
  <c r="I436" i="1"/>
  <c r="E423" i="1"/>
  <c r="H423" i="1"/>
  <c r="I423" i="1"/>
  <c r="E418" i="1"/>
  <c r="H418" i="1"/>
  <c r="I418" i="1"/>
  <c r="E419" i="1"/>
  <c r="H419" i="1"/>
  <c r="I419" i="1"/>
  <c r="E420" i="1"/>
  <c r="H420" i="1"/>
  <c r="I420" i="1"/>
  <c r="E421" i="1"/>
  <c r="H421" i="1"/>
  <c r="I421" i="1"/>
  <c r="E422" i="1"/>
  <c r="H422" i="1"/>
  <c r="I422" i="1"/>
  <c r="D137" i="2"/>
  <c r="E397" i="1"/>
  <c r="H397" i="1"/>
  <c r="I397" i="1"/>
  <c r="E398" i="1"/>
  <c r="H398" i="1"/>
  <c r="I398" i="1"/>
  <c r="E399" i="1"/>
  <c r="H399" i="1"/>
  <c r="I399" i="1"/>
  <c r="E400" i="1"/>
  <c r="H400" i="1"/>
  <c r="I400" i="1"/>
  <c r="E401" i="1"/>
  <c r="H401" i="1"/>
  <c r="I401" i="1"/>
  <c r="E402" i="1"/>
  <c r="H402" i="1"/>
  <c r="I402" i="1"/>
  <c r="E392" i="1"/>
  <c r="H392" i="1"/>
  <c r="I392" i="1"/>
  <c r="E393" i="1"/>
  <c r="H393" i="1"/>
  <c r="I393" i="1"/>
  <c r="E394" i="1"/>
  <c r="H394" i="1"/>
  <c r="I394" i="1"/>
  <c r="E395" i="1"/>
  <c r="H395" i="1"/>
  <c r="I395" i="1"/>
  <c r="E396" i="1"/>
  <c r="H396" i="1"/>
  <c r="I396" i="1"/>
  <c r="E383" i="1"/>
  <c r="H383" i="1"/>
  <c r="I383" i="1"/>
  <c r="E384" i="1"/>
  <c r="H384" i="1"/>
  <c r="I384" i="1"/>
  <c r="E385" i="1"/>
  <c r="H385" i="1"/>
  <c r="I385" i="1"/>
  <c r="E386" i="1"/>
  <c r="H386" i="1"/>
  <c r="I386" i="1"/>
  <c r="E387" i="1"/>
  <c r="H387" i="1"/>
  <c r="I387" i="1"/>
  <c r="E388" i="1"/>
  <c r="H388" i="1"/>
  <c r="I388" i="1"/>
  <c r="E389" i="1"/>
  <c r="H389" i="1"/>
  <c r="I389" i="1"/>
  <c r="E390" i="1"/>
  <c r="H390" i="1"/>
  <c r="I390" i="1"/>
  <c r="E391" i="1"/>
  <c r="H391" i="1"/>
  <c r="I391" i="1"/>
  <c r="E382" i="1"/>
  <c r="H382" i="1"/>
  <c r="I382" i="1"/>
  <c r="E376" i="1"/>
  <c r="H376" i="1"/>
  <c r="I376" i="1"/>
  <c r="E377" i="1"/>
  <c r="H377" i="1"/>
  <c r="I377" i="1"/>
  <c r="E378" i="1"/>
  <c r="H378" i="1"/>
  <c r="I378" i="1"/>
  <c r="E379" i="1"/>
  <c r="H379" i="1"/>
  <c r="I379" i="1"/>
  <c r="E380" i="1"/>
  <c r="H380" i="1"/>
  <c r="I380" i="1"/>
  <c r="E381" i="1"/>
  <c r="H381" i="1"/>
  <c r="I381" i="1"/>
  <c r="D361" i="1"/>
  <c r="E337" i="1"/>
  <c r="E350" i="1"/>
  <c r="E358" i="1"/>
  <c r="H358" i="1"/>
  <c r="I358" i="1"/>
  <c r="E359" i="1"/>
  <c r="H359" i="1"/>
  <c r="I359" i="1"/>
  <c r="E360" i="1"/>
  <c r="H360" i="1"/>
  <c r="I360" i="1"/>
  <c r="E354" i="1"/>
  <c r="H354" i="1"/>
  <c r="I354" i="1"/>
  <c r="E355" i="1"/>
  <c r="H355" i="1"/>
  <c r="I355" i="1"/>
  <c r="E356" i="1"/>
  <c r="H356" i="1"/>
  <c r="I356" i="1"/>
  <c r="E357" i="1"/>
  <c r="H357" i="1"/>
  <c r="I357" i="1"/>
  <c r="E349" i="1"/>
  <c r="H349" i="1"/>
  <c r="I349" i="1"/>
  <c r="H350" i="1"/>
  <c r="I350" i="1"/>
  <c r="E351" i="1"/>
  <c r="H351" i="1"/>
  <c r="I351" i="1"/>
  <c r="E352" i="1"/>
  <c r="H352" i="1"/>
  <c r="I352" i="1"/>
  <c r="E353" i="1"/>
  <c r="H353" i="1"/>
  <c r="I353" i="1"/>
  <c r="E346" i="1"/>
  <c r="H346" i="1"/>
  <c r="I346" i="1"/>
  <c r="E347" i="1"/>
  <c r="H347" i="1"/>
  <c r="I347" i="1"/>
  <c r="E348" i="1"/>
  <c r="H348" i="1"/>
  <c r="I348" i="1"/>
  <c r="E327" i="1"/>
  <c r="E328" i="1"/>
  <c r="H328" i="1"/>
  <c r="I328" i="1"/>
  <c r="E329" i="1"/>
  <c r="H329" i="1"/>
  <c r="I329" i="1"/>
  <c r="E330" i="1"/>
  <c r="H330" i="1"/>
  <c r="I330" i="1"/>
  <c r="E331" i="1"/>
  <c r="H331" i="1"/>
  <c r="I331" i="1"/>
  <c r="E325" i="1"/>
  <c r="H325" i="1"/>
  <c r="I325" i="1"/>
  <c r="E326" i="1"/>
  <c r="H326" i="1"/>
  <c r="I326" i="1"/>
  <c r="H327" i="1"/>
  <c r="I327" i="1"/>
  <c r="E321" i="1"/>
  <c r="H321" i="1"/>
  <c r="I321" i="1"/>
  <c r="E322" i="1"/>
  <c r="H322" i="1"/>
  <c r="I322" i="1"/>
  <c r="E323" i="1"/>
  <c r="H323" i="1"/>
  <c r="I323" i="1"/>
  <c r="E324" i="1"/>
  <c r="H324" i="1"/>
  <c r="I324" i="1"/>
  <c r="E315" i="1"/>
  <c r="H315" i="1"/>
  <c r="I315" i="1"/>
  <c r="E316" i="1"/>
  <c r="H316" i="1"/>
  <c r="I316" i="1"/>
  <c r="E317" i="1"/>
  <c r="H317" i="1"/>
  <c r="I317" i="1"/>
  <c r="E318" i="1"/>
  <c r="H318" i="1"/>
  <c r="I318" i="1"/>
  <c r="E319" i="1"/>
  <c r="H319" i="1"/>
  <c r="I319" i="1"/>
  <c r="E320" i="1"/>
  <c r="H320" i="1"/>
  <c r="I320" i="1"/>
  <c r="E310" i="1"/>
  <c r="H310" i="1"/>
  <c r="I310" i="1"/>
  <c r="E311" i="1"/>
  <c r="H311" i="1"/>
  <c r="I311" i="1"/>
  <c r="E312" i="1"/>
  <c r="H312" i="1"/>
  <c r="I312" i="1"/>
  <c r="E313" i="1"/>
  <c r="H313" i="1"/>
  <c r="I313" i="1"/>
  <c r="E314" i="1"/>
  <c r="H314" i="1"/>
  <c r="I314" i="1"/>
  <c r="D98" i="2"/>
  <c r="E291" i="1"/>
  <c r="H291" i="1"/>
  <c r="I291" i="1"/>
  <c r="E292" i="1"/>
  <c r="H292" i="1"/>
  <c r="I292" i="1"/>
  <c r="E293" i="1"/>
  <c r="H293" i="1"/>
  <c r="I293" i="1"/>
  <c r="E294" i="1"/>
  <c r="H294" i="1"/>
  <c r="I294" i="1"/>
  <c r="E281" i="1"/>
  <c r="H281" i="1"/>
  <c r="I281" i="1"/>
  <c r="E282" i="1"/>
  <c r="H282" i="1"/>
  <c r="I282" i="1"/>
  <c r="E283" i="1"/>
  <c r="H283" i="1"/>
  <c r="I283" i="1"/>
  <c r="E284" i="1"/>
  <c r="H284" i="1"/>
  <c r="I284" i="1"/>
  <c r="E285" i="1"/>
  <c r="H285" i="1"/>
  <c r="I285" i="1"/>
  <c r="E286" i="1"/>
  <c r="H286" i="1"/>
  <c r="I286" i="1"/>
  <c r="E287" i="1"/>
  <c r="H287" i="1"/>
  <c r="I287" i="1"/>
  <c r="E288" i="1"/>
  <c r="H288" i="1"/>
  <c r="I288" i="1"/>
  <c r="E289" i="1"/>
  <c r="H289" i="1"/>
  <c r="I289" i="1"/>
  <c r="E290" i="1"/>
  <c r="H290" i="1"/>
  <c r="I290" i="1"/>
  <c r="E262" i="1"/>
  <c r="H262" i="1"/>
  <c r="I262" i="1"/>
  <c r="E263" i="1"/>
  <c r="H263" i="1"/>
  <c r="I263" i="1"/>
  <c r="E264" i="1"/>
  <c r="H264" i="1"/>
  <c r="I264" i="1"/>
  <c r="E265" i="1"/>
  <c r="H265" i="1"/>
  <c r="I265" i="1"/>
  <c r="E257" i="1"/>
  <c r="H257" i="1"/>
  <c r="I257" i="1"/>
  <c r="E258" i="1"/>
  <c r="H258" i="1"/>
  <c r="I258" i="1"/>
  <c r="E259" i="1"/>
  <c r="H259" i="1"/>
  <c r="I259" i="1"/>
  <c r="E260" i="1"/>
  <c r="H260" i="1"/>
  <c r="I260" i="1"/>
  <c r="E261" i="1"/>
  <c r="H261" i="1"/>
  <c r="I261" i="1"/>
  <c r="E250" i="1"/>
  <c r="H250" i="1"/>
  <c r="I250" i="1"/>
  <c r="E251" i="1"/>
  <c r="H251" i="1"/>
  <c r="I251" i="1"/>
  <c r="E252" i="1"/>
  <c r="H252" i="1"/>
  <c r="I252" i="1"/>
  <c r="E253" i="1"/>
  <c r="H253" i="1"/>
  <c r="I253" i="1"/>
  <c r="E254" i="1"/>
  <c r="H254" i="1"/>
  <c r="I254" i="1"/>
  <c r="I255" i="1"/>
  <c r="E256" i="1"/>
  <c r="H256" i="1"/>
  <c r="I256" i="1"/>
  <c r="E246" i="1"/>
  <c r="H246" i="1"/>
  <c r="I246" i="1"/>
  <c r="E247" i="1"/>
  <c r="H247" i="1"/>
  <c r="I247" i="1"/>
  <c r="E248" i="1"/>
  <c r="H248" i="1"/>
  <c r="I248" i="1"/>
  <c r="E249" i="1"/>
  <c r="H249" i="1"/>
  <c r="I249" i="1"/>
  <c r="H195" i="1"/>
  <c r="H196" i="1"/>
  <c r="H197" i="1"/>
  <c r="H198" i="1"/>
  <c r="H200" i="1"/>
  <c r="H199" i="1"/>
  <c r="H189" i="1"/>
  <c r="H190" i="1"/>
  <c r="H191" i="1"/>
  <c r="H192" i="1"/>
  <c r="H193" i="1"/>
  <c r="H194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3" i="1"/>
  <c r="H225" i="1"/>
  <c r="H226" i="1"/>
  <c r="H227" i="1"/>
  <c r="H228" i="1"/>
  <c r="H229" i="1"/>
  <c r="H230" i="1"/>
  <c r="I222" i="1"/>
  <c r="I213" i="1"/>
  <c r="E213" i="1"/>
  <c r="I224" i="1"/>
  <c r="I225" i="1"/>
  <c r="I226" i="1"/>
  <c r="E225" i="1"/>
  <c r="E226" i="1"/>
  <c r="E201" i="1"/>
  <c r="I223" i="1"/>
  <c r="E223" i="1"/>
  <c r="I221" i="1"/>
  <c r="E228" i="1"/>
  <c r="I228" i="1"/>
  <c r="E229" i="1"/>
  <c r="I229" i="1"/>
  <c r="E230" i="1"/>
  <c r="I230" i="1"/>
  <c r="E217" i="1"/>
  <c r="I217" i="1"/>
  <c r="E218" i="1"/>
  <c r="I218" i="1"/>
  <c r="I219" i="1"/>
  <c r="I220" i="1"/>
  <c r="E227" i="1"/>
  <c r="I227" i="1"/>
  <c r="E210" i="1"/>
  <c r="I210" i="1"/>
  <c r="E211" i="1"/>
  <c r="I211" i="1"/>
  <c r="E212" i="1"/>
  <c r="I212" i="1"/>
  <c r="E214" i="1"/>
  <c r="I214" i="1"/>
  <c r="E215" i="1"/>
  <c r="I215" i="1"/>
  <c r="E216" i="1"/>
  <c r="I216" i="1"/>
  <c r="I209" i="1"/>
  <c r="E205" i="1"/>
  <c r="I205" i="1"/>
  <c r="E206" i="1"/>
  <c r="I206" i="1"/>
  <c r="E207" i="1"/>
  <c r="I207" i="1"/>
  <c r="E208" i="1"/>
  <c r="I208" i="1"/>
  <c r="E202" i="1"/>
  <c r="I202" i="1"/>
  <c r="I203" i="1"/>
  <c r="E204" i="1"/>
  <c r="I204" i="1"/>
  <c r="E175" i="1"/>
  <c r="H175" i="1"/>
  <c r="I175" i="1"/>
  <c r="D56" i="2"/>
  <c r="I179" i="1"/>
  <c r="H179" i="1"/>
  <c r="E179" i="1"/>
  <c r="E184" i="1"/>
  <c r="H184" i="1"/>
  <c r="I184" i="1"/>
  <c r="E185" i="1"/>
  <c r="H185" i="1"/>
  <c r="I185" i="1"/>
  <c r="E186" i="1"/>
  <c r="H186" i="1"/>
  <c r="I186" i="1"/>
  <c r="E181" i="1"/>
  <c r="H181" i="1"/>
  <c r="I181" i="1"/>
  <c r="E182" i="1"/>
  <c r="H182" i="1"/>
  <c r="I182" i="1"/>
  <c r="E183" i="1"/>
  <c r="H183" i="1"/>
  <c r="I183" i="1"/>
  <c r="I180" i="1"/>
  <c r="E173" i="1" l="1"/>
  <c r="H173" i="1"/>
  <c r="I173" i="1"/>
  <c r="E174" i="1"/>
  <c r="H174" i="1"/>
  <c r="I174" i="1"/>
  <c r="E176" i="1"/>
  <c r="H176" i="1"/>
  <c r="I176" i="1"/>
  <c r="E177" i="1"/>
  <c r="H177" i="1"/>
  <c r="I177" i="1"/>
  <c r="E178" i="1"/>
  <c r="H178" i="1"/>
  <c r="I178" i="1"/>
  <c r="E180" i="1"/>
  <c r="H180" i="1"/>
  <c r="E169" i="1"/>
  <c r="H169" i="1"/>
  <c r="I169" i="1"/>
  <c r="E170" i="1"/>
  <c r="H170" i="1"/>
  <c r="I170" i="1"/>
  <c r="E171" i="1"/>
  <c r="H171" i="1"/>
  <c r="I171" i="1"/>
  <c r="E172" i="1"/>
  <c r="H172" i="1"/>
  <c r="I172" i="1"/>
  <c r="E161" i="1"/>
  <c r="H161" i="1"/>
  <c r="I161" i="1"/>
  <c r="E162" i="1"/>
  <c r="H162" i="1"/>
  <c r="I162" i="1"/>
  <c r="E163" i="1"/>
  <c r="H163" i="1"/>
  <c r="I163" i="1"/>
  <c r="I164" i="1"/>
  <c r="E165" i="1"/>
  <c r="H165" i="1"/>
  <c r="I165" i="1"/>
  <c r="E166" i="1"/>
  <c r="H166" i="1"/>
  <c r="I166" i="1"/>
  <c r="E167" i="1"/>
  <c r="H167" i="1"/>
  <c r="I167" i="1"/>
  <c r="E168" i="1"/>
  <c r="H168" i="1"/>
  <c r="I168" i="1"/>
  <c r="I143" i="1"/>
  <c r="I144" i="1"/>
  <c r="I145" i="1"/>
  <c r="H143" i="1"/>
  <c r="H144" i="1"/>
  <c r="H145" i="1"/>
  <c r="E143" i="1"/>
  <c r="E144" i="1"/>
  <c r="E145" i="1"/>
  <c r="E104" i="1"/>
  <c r="E141" i="1"/>
  <c r="H141" i="1"/>
  <c r="I141" i="1"/>
  <c r="E140" i="1"/>
  <c r="H140" i="1"/>
  <c r="I140" i="1"/>
  <c r="E137" i="1"/>
  <c r="H137" i="1"/>
  <c r="I137" i="1"/>
  <c r="E138" i="1"/>
  <c r="H138" i="1"/>
  <c r="I138" i="1"/>
  <c r="E139" i="1"/>
  <c r="H139" i="1"/>
  <c r="I139" i="1"/>
  <c r="E142" i="1"/>
  <c r="H142" i="1"/>
  <c r="I142" i="1"/>
  <c r="E134" i="1"/>
  <c r="H134" i="1"/>
  <c r="I134" i="1"/>
  <c r="E135" i="1"/>
  <c r="H135" i="1"/>
  <c r="I135" i="1"/>
  <c r="E136" i="1"/>
  <c r="H136" i="1"/>
  <c r="I136" i="1"/>
  <c r="E133" i="1"/>
  <c r="H133" i="1"/>
  <c r="I133" i="1"/>
  <c r="E131" i="1"/>
  <c r="H131" i="1"/>
  <c r="I131" i="1"/>
  <c r="E124" i="1"/>
  <c r="H124" i="1"/>
  <c r="I124" i="1"/>
  <c r="E125" i="1"/>
  <c r="H125" i="1"/>
  <c r="I125" i="1"/>
  <c r="E126" i="1"/>
  <c r="H126" i="1"/>
  <c r="I126" i="1"/>
  <c r="E127" i="1"/>
  <c r="H127" i="1"/>
  <c r="I127" i="1"/>
  <c r="E128" i="1"/>
  <c r="H128" i="1"/>
  <c r="I128" i="1"/>
  <c r="E129" i="1"/>
  <c r="H129" i="1"/>
  <c r="I129" i="1"/>
  <c r="E130" i="1"/>
  <c r="H130" i="1"/>
  <c r="I130" i="1"/>
  <c r="E132" i="1"/>
  <c r="H132" i="1"/>
  <c r="I132" i="1"/>
  <c r="E118" i="1"/>
  <c r="H118" i="1"/>
  <c r="I118" i="1"/>
  <c r="E119" i="1"/>
  <c r="H119" i="1"/>
  <c r="I119" i="1"/>
  <c r="E120" i="1"/>
  <c r="H120" i="1"/>
  <c r="I120" i="1"/>
  <c r="E121" i="1"/>
  <c r="H121" i="1"/>
  <c r="I121" i="1"/>
  <c r="I122" i="1"/>
  <c r="E123" i="1"/>
  <c r="H123" i="1"/>
  <c r="I123" i="1"/>
  <c r="E110" i="1"/>
  <c r="H110" i="1"/>
  <c r="I110" i="1"/>
  <c r="E111" i="1"/>
  <c r="H111" i="1"/>
  <c r="I111" i="1"/>
  <c r="E112" i="1"/>
  <c r="H112" i="1"/>
  <c r="I112" i="1"/>
  <c r="E113" i="1"/>
  <c r="H113" i="1"/>
  <c r="I113" i="1"/>
  <c r="E114" i="1"/>
  <c r="H114" i="1"/>
  <c r="I114" i="1"/>
  <c r="E115" i="1"/>
  <c r="H115" i="1"/>
  <c r="I115" i="1"/>
  <c r="E116" i="1"/>
  <c r="H116" i="1"/>
  <c r="I116" i="1"/>
  <c r="E117" i="1"/>
  <c r="H117" i="1"/>
  <c r="I117" i="1"/>
  <c r="H66" i="1"/>
  <c r="E57" i="1"/>
  <c r="H31" i="1"/>
  <c r="H30" i="1"/>
  <c r="H28" i="1"/>
  <c r="H29" i="1"/>
  <c r="H27" i="1"/>
  <c r="H25" i="1"/>
  <c r="H26" i="1"/>
  <c r="H24" i="1"/>
  <c r="H23" i="1"/>
  <c r="H22" i="1"/>
  <c r="H21" i="1"/>
  <c r="H20" i="1"/>
  <c r="H19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I67" i="1"/>
  <c r="I68" i="1"/>
  <c r="I69" i="1"/>
  <c r="I70" i="1"/>
  <c r="I71" i="1"/>
  <c r="I72" i="1"/>
  <c r="I94" i="1"/>
  <c r="I92" i="1"/>
  <c r="I93" i="1"/>
  <c r="H9" i="1"/>
  <c r="H18" i="1"/>
  <c r="I91" i="1"/>
  <c r="E87" i="1"/>
  <c r="H87" i="1"/>
  <c r="I87" i="1"/>
  <c r="I88" i="1"/>
  <c r="E89" i="1"/>
  <c r="H89" i="1"/>
  <c r="I89" i="1"/>
  <c r="I90" i="1"/>
  <c r="I82" i="1"/>
  <c r="H83" i="1"/>
  <c r="I83" i="1"/>
  <c r="I84" i="1"/>
  <c r="I85" i="1"/>
  <c r="H86" i="1"/>
  <c r="I86" i="1"/>
  <c r="I81" i="1"/>
  <c r="I73" i="1"/>
  <c r="I74" i="1"/>
  <c r="I75" i="1"/>
  <c r="I76" i="1"/>
  <c r="E77" i="1"/>
  <c r="H77" i="1"/>
  <c r="I77" i="1"/>
  <c r="I78" i="1"/>
  <c r="I79" i="1"/>
  <c r="I80" i="1"/>
  <c r="H52" i="1"/>
  <c r="I52" i="1"/>
  <c r="H53" i="1"/>
  <c r="I53" i="1"/>
  <c r="H48" i="1"/>
  <c r="I48" i="1"/>
  <c r="H49" i="1"/>
  <c r="I49" i="1"/>
  <c r="H50" i="1"/>
  <c r="I50" i="1"/>
  <c r="H51" i="1"/>
  <c r="I51" i="1"/>
  <c r="H43" i="1"/>
  <c r="I43" i="1"/>
  <c r="H44" i="1"/>
  <c r="I44" i="1"/>
  <c r="H45" i="1"/>
  <c r="I45" i="1"/>
  <c r="H46" i="1"/>
  <c r="I46" i="1"/>
  <c r="H47" i="1"/>
  <c r="I47" i="1"/>
  <c r="I40" i="1"/>
  <c r="I38" i="1"/>
  <c r="I39" i="1"/>
  <c r="H41" i="1"/>
  <c r="I41" i="1"/>
  <c r="H42" i="1"/>
  <c r="I42" i="1"/>
  <c r="H32" i="1"/>
  <c r="I32" i="1"/>
  <c r="H33" i="1"/>
  <c r="I33" i="1"/>
  <c r="H34" i="1"/>
  <c r="I34" i="1"/>
  <c r="I35" i="1"/>
  <c r="I36" i="1"/>
  <c r="I37" i="1"/>
  <c r="I31" i="1"/>
  <c r="G157" i="2"/>
  <c r="D157" i="2"/>
  <c r="G156" i="2"/>
  <c r="D156" i="2"/>
  <c r="G155" i="2"/>
  <c r="D155" i="2"/>
  <c r="G154" i="2"/>
  <c r="D154" i="2"/>
  <c r="G153" i="2"/>
  <c r="D153" i="2"/>
  <c r="G152" i="2"/>
  <c r="D152" i="2"/>
  <c r="G151" i="2"/>
  <c r="D151" i="2"/>
  <c r="G150" i="2"/>
  <c r="D150" i="2"/>
  <c r="G149" i="2"/>
  <c r="D149" i="2"/>
  <c r="G148" i="2"/>
  <c r="D148" i="2"/>
  <c r="G147" i="2"/>
  <c r="G158" i="2" s="1"/>
  <c r="D147" i="2"/>
  <c r="G144" i="2"/>
  <c r="D144" i="2"/>
  <c r="G143" i="2"/>
  <c r="D143" i="2"/>
  <c r="G142" i="2"/>
  <c r="D142" i="2"/>
  <c r="G141" i="2"/>
  <c r="D141" i="2"/>
  <c r="G140" i="2"/>
  <c r="D140" i="2"/>
  <c r="G139" i="2"/>
  <c r="D139" i="2"/>
  <c r="G138" i="2"/>
  <c r="D138" i="2"/>
  <c r="G137" i="2"/>
  <c r="G136" i="2"/>
  <c r="D136" i="2"/>
  <c r="G135" i="2"/>
  <c r="D135" i="2"/>
  <c r="G134" i="2"/>
  <c r="G145" i="2" s="1"/>
  <c r="D134" i="2"/>
  <c r="G131" i="2"/>
  <c r="D131" i="2"/>
  <c r="G130" i="2"/>
  <c r="D130" i="2"/>
  <c r="G129" i="2"/>
  <c r="D129" i="2"/>
  <c r="G128" i="2"/>
  <c r="D128" i="2"/>
  <c r="G127" i="2"/>
  <c r="D127" i="2"/>
  <c r="G126" i="2"/>
  <c r="D126" i="2"/>
  <c r="G125" i="2"/>
  <c r="D125" i="2"/>
  <c r="G124" i="2"/>
  <c r="D124" i="2"/>
  <c r="G123" i="2"/>
  <c r="D123" i="2"/>
  <c r="G122" i="2"/>
  <c r="D122" i="2"/>
  <c r="G121" i="2"/>
  <c r="G132" i="2" s="1"/>
  <c r="D121" i="2"/>
  <c r="G118" i="2"/>
  <c r="D118" i="2"/>
  <c r="G117" i="2"/>
  <c r="D117" i="2"/>
  <c r="G116" i="2"/>
  <c r="D116" i="2"/>
  <c r="G115" i="2"/>
  <c r="D115" i="2"/>
  <c r="G114" i="2"/>
  <c r="D114" i="2"/>
  <c r="G113" i="2"/>
  <c r="D113" i="2"/>
  <c r="G112" i="2"/>
  <c r="D112" i="2"/>
  <c r="G111" i="2"/>
  <c r="D111" i="2"/>
  <c r="G110" i="2"/>
  <c r="D110" i="2"/>
  <c r="G109" i="2"/>
  <c r="D109" i="2"/>
  <c r="G108" i="2"/>
  <c r="G119" i="2" s="1"/>
  <c r="D108" i="2"/>
  <c r="G105" i="2"/>
  <c r="D105" i="2"/>
  <c r="G104" i="2"/>
  <c r="D104" i="2"/>
  <c r="G103" i="2"/>
  <c r="D103" i="2"/>
  <c r="G102" i="2"/>
  <c r="D102" i="2"/>
  <c r="G101" i="2"/>
  <c r="D101" i="2"/>
  <c r="G100" i="2"/>
  <c r="D100" i="2"/>
  <c r="G99" i="2"/>
  <c r="D99" i="2"/>
  <c r="G98" i="2"/>
  <c r="G97" i="2"/>
  <c r="D97" i="2"/>
  <c r="G96" i="2"/>
  <c r="D96" i="2"/>
  <c r="G95" i="2"/>
  <c r="G106" i="2" s="1"/>
  <c r="D95" i="2"/>
  <c r="G92" i="2"/>
  <c r="D92" i="2"/>
  <c r="G91" i="2"/>
  <c r="D91" i="2"/>
  <c r="G90" i="2"/>
  <c r="D90" i="2"/>
  <c r="G89" i="2"/>
  <c r="D89" i="2"/>
  <c r="G88" i="2"/>
  <c r="D88" i="2"/>
  <c r="G87" i="2"/>
  <c r="D87" i="2"/>
  <c r="G86" i="2"/>
  <c r="D86" i="2"/>
  <c r="G85" i="2"/>
  <c r="D85" i="2"/>
  <c r="G84" i="2"/>
  <c r="D84" i="2"/>
  <c r="G83" i="2"/>
  <c r="D83" i="2"/>
  <c r="G82" i="2"/>
  <c r="G93" i="2" s="1"/>
  <c r="D82" i="2"/>
  <c r="G79" i="2"/>
  <c r="D79" i="2"/>
  <c r="G78" i="2"/>
  <c r="D78" i="2"/>
  <c r="G77" i="2"/>
  <c r="D77" i="2"/>
  <c r="G76" i="2"/>
  <c r="D76" i="2"/>
  <c r="G75" i="2"/>
  <c r="D75" i="2"/>
  <c r="G74" i="2"/>
  <c r="D74" i="2"/>
  <c r="G73" i="2"/>
  <c r="D73" i="2"/>
  <c r="G72" i="2"/>
  <c r="D72" i="2"/>
  <c r="G71" i="2"/>
  <c r="D71" i="2"/>
  <c r="G70" i="2"/>
  <c r="D70" i="2"/>
  <c r="G69" i="2"/>
  <c r="G80" i="2" s="1"/>
  <c r="D69" i="2"/>
  <c r="G66" i="2"/>
  <c r="D66" i="2"/>
  <c r="G65" i="2"/>
  <c r="D65" i="2"/>
  <c r="G64" i="2"/>
  <c r="D64" i="2"/>
  <c r="G63" i="2"/>
  <c r="D63" i="2"/>
  <c r="G62" i="2"/>
  <c r="D62" i="2"/>
  <c r="G61" i="2"/>
  <c r="D61" i="2"/>
  <c r="G60" i="2"/>
  <c r="D60" i="2"/>
  <c r="G59" i="2"/>
  <c r="D59" i="2"/>
  <c r="G58" i="2"/>
  <c r="D58" i="2"/>
  <c r="G57" i="2"/>
  <c r="D57" i="2"/>
  <c r="G56" i="2"/>
  <c r="G67" i="2" s="1"/>
  <c r="G53" i="2"/>
  <c r="D53" i="2"/>
  <c r="G52" i="2"/>
  <c r="D52" i="2"/>
  <c r="G51" i="2"/>
  <c r="D51" i="2"/>
  <c r="G50" i="2"/>
  <c r="D50" i="2"/>
  <c r="G49" i="2"/>
  <c r="D49" i="2"/>
  <c r="G48" i="2"/>
  <c r="D48" i="2"/>
  <c r="G47" i="2"/>
  <c r="D47" i="2"/>
  <c r="G46" i="2"/>
  <c r="D46" i="2"/>
  <c r="G45" i="2"/>
  <c r="D45" i="2"/>
  <c r="G44" i="2"/>
  <c r="D44" i="2"/>
  <c r="G43" i="2"/>
  <c r="G54" i="2" s="1"/>
  <c r="D43" i="2"/>
  <c r="G40" i="2"/>
  <c r="D40" i="2"/>
  <c r="G39" i="2"/>
  <c r="D39" i="2"/>
  <c r="G38" i="2"/>
  <c r="D38" i="2"/>
  <c r="G37" i="2"/>
  <c r="D37" i="2"/>
  <c r="G36" i="2"/>
  <c r="D36" i="2"/>
  <c r="G35" i="2"/>
  <c r="D35" i="2"/>
  <c r="G34" i="2"/>
  <c r="D34" i="2"/>
  <c r="G33" i="2"/>
  <c r="D33" i="2"/>
  <c r="G32" i="2"/>
  <c r="D32" i="2"/>
  <c r="G31" i="2"/>
  <c r="D31" i="2"/>
  <c r="G30" i="2"/>
  <c r="G41" i="2" s="1"/>
  <c r="D30" i="2"/>
  <c r="G27" i="2"/>
  <c r="D27" i="2"/>
  <c r="G26" i="2"/>
  <c r="D26" i="2"/>
  <c r="G25" i="2"/>
  <c r="D25" i="2"/>
  <c r="G24" i="2"/>
  <c r="D24" i="2"/>
  <c r="G23" i="2"/>
  <c r="D23" i="2"/>
  <c r="G22" i="2"/>
  <c r="D22" i="2"/>
  <c r="G21" i="2"/>
  <c r="D21" i="2"/>
  <c r="G20" i="2"/>
  <c r="D20" i="2"/>
  <c r="G19" i="2"/>
  <c r="G18" i="2"/>
  <c r="D18" i="2"/>
  <c r="G17" i="2"/>
  <c r="G28" i="2" s="1"/>
  <c r="D17" i="2"/>
  <c r="E457" i="1"/>
  <c r="E455" i="1"/>
  <c r="E449" i="1"/>
  <c r="E448" i="1"/>
  <c r="E447" i="1"/>
  <c r="E446" i="1"/>
  <c r="E445" i="1"/>
  <c r="E444" i="1"/>
  <c r="E443" i="1"/>
  <c r="E442" i="1"/>
  <c r="E441" i="1"/>
  <c r="E440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375" i="1"/>
  <c r="E374" i="1"/>
  <c r="E373" i="1"/>
  <c r="E372" i="1"/>
  <c r="E371" i="1"/>
  <c r="E369" i="1"/>
  <c r="E368" i="1"/>
  <c r="E367" i="1"/>
  <c r="E366" i="1"/>
  <c r="E365" i="1"/>
  <c r="E364" i="1"/>
  <c r="E363" i="1"/>
  <c r="E345" i="1"/>
  <c r="E344" i="1"/>
  <c r="E343" i="1"/>
  <c r="E342" i="1"/>
  <c r="E341" i="1"/>
  <c r="E340" i="1"/>
  <c r="E339" i="1"/>
  <c r="E338" i="1"/>
  <c r="E336" i="1"/>
  <c r="E335" i="1"/>
  <c r="E334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09" i="1"/>
  <c r="E108" i="1"/>
  <c r="E107" i="1"/>
  <c r="E106" i="1"/>
  <c r="E105" i="1"/>
  <c r="E103" i="1"/>
  <c r="E102" i="1"/>
  <c r="E101" i="1"/>
  <c r="E100" i="1"/>
  <c r="E99" i="1"/>
  <c r="E98" i="1"/>
  <c r="E97" i="1"/>
  <c r="E18" i="1"/>
  <c r="E14" i="1"/>
  <c r="I4" i="1"/>
  <c r="I3" i="1"/>
  <c r="I5" i="1"/>
  <c r="I6" i="1"/>
  <c r="I7" i="1"/>
  <c r="I8" i="1"/>
  <c r="I9" i="1"/>
  <c r="I10" i="1"/>
  <c r="I11" i="1"/>
  <c r="I12" i="1"/>
  <c r="I13" i="1"/>
  <c r="I14" i="1"/>
  <c r="I15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56" i="1"/>
  <c r="I57" i="1"/>
  <c r="I58" i="1"/>
  <c r="I59" i="1"/>
  <c r="I60" i="1"/>
  <c r="I61" i="1"/>
  <c r="I62" i="1"/>
  <c r="I63" i="1"/>
  <c r="I64" i="1"/>
  <c r="I65" i="1"/>
  <c r="I6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457" i="1"/>
  <c r="H457" i="1"/>
  <c r="I456" i="1"/>
  <c r="I455" i="1"/>
  <c r="H455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375" i="1"/>
  <c r="H375" i="1"/>
  <c r="I374" i="1"/>
  <c r="H374" i="1"/>
  <c r="I373" i="1"/>
  <c r="H373" i="1"/>
  <c r="I372" i="1"/>
  <c r="H372" i="1"/>
  <c r="I371" i="1"/>
  <c r="H371" i="1"/>
  <c r="I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H361" i="1" s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58" i="1"/>
  <c r="H57" i="1"/>
  <c r="H56" i="1"/>
  <c r="G14" i="2"/>
  <c r="D14" i="2"/>
  <c r="G13" i="2"/>
  <c r="D13" i="2"/>
  <c r="G12" i="2"/>
  <c r="D12" i="2"/>
  <c r="G11" i="2"/>
  <c r="D11" i="2"/>
  <c r="G10" i="2"/>
  <c r="D10" i="2"/>
  <c r="G9" i="2"/>
  <c r="D9" i="2"/>
  <c r="G8" i="2"/>
  <c r="D8" i="2"/>
  <c r="G7" i="2"/>
  <c r="D7" i="2"/>
  <c r="G6" i="2"/>
  <c r="D6" i="2"/>
  <c r="G5" i="2"/>
  <c r="D5" i="2"/>
  <c r="G4" i="2"/>
  <c r="G15" i="2" s="1"/>
  <c r="D4" i="2"/>
  <c r="H15" i="1"/>
  <c r="E15" i="1"/>
  <c r="H14" i="1"/>
  <c r="H13" i="1"/>
  <c r="E13" i="1"/>
  <c r="H12" i="1"/>
  <c r="E12" i="1"/>
  <c r="H11" i="1"/>
  <c r="E11" i="1"/>
  <c r="H10" i="1"/>
  <c r="E10" i="1"/>
  <c r="E9" i="1"/>
  <c r="H8" i="1"/>
  <c r="E8" i="1"/>
  <c r="H7" i="1"/>
  <c r="E7" i="1"/>
  <c r="H6" i="1"/>
  <c r="E6" i="1"/>
  <c r="H5" i="1"/>
  <c r="E5" i="1"/>
  <c r="H4" i="1"/>
  <c r="E4" i="1"/>
  <c r="H3" i="1"/>
  <c r="E3" i="1"/>
  <c r="H332" i="1" l="1"/>
  <c r="I333" i="1" s="1"/>
  <c r="H438" i="1"/>
  <c r="H295" i="1"/>
  <c r="H16" i="1"/>
  <c r="I17" i="1" s="1"/>
  <c r="H35" i="1"/>
  <c r="H54" i="1" s="1"/>
  <c r="E67" i="1"/>
  <c r="H67" i="1"/>
  <c r="E66" i="1"/>
  <c r="E64" i="1"/>
  <c r="H64" i="1"/>
  <c r="E62" i="1"/>
  <c r="H62" i="1"/>
  <c r="E60" i="1"/>
  <c r="H60" i="1"/>
  <c r="E58" i="1"/>
  <c r="H59" i="1"/>
  <c r="E59" i="1"/>
  <c r="E61" i="1"/>
  <c r="H61" i="1"/>
  <c r="E63" i="1"/>
  <c r="H63" i="1"/>
  <c r="E65" i="1"/>
  <c r="H65" i="1"/>
  <c r="H78" i="1"/>
  <c r="H79" i="1"/>
  <c r="E75" i="1"/>
  <c r="H75" i="1"/>
  <c r="E73" i="1"/>
  <c r="H73" i="1"/>
  <c r="E71" i="1"/>
  <c r="H71" i="1"/>
  <c r="E69" i="1"/>
  <c r="H69" i="1"/>
  <c r="E68" i="1"/>
  <c r="H68" i="1"/>
  <c r="E70" i="1"/>
  <c r="H70" i="1"/>
  <c r="E72" i="1"/>
  <c r="H72" i="1"/>
  <c r="E74" i="1"/>
  <c r="H74" i="1"/>
  <c r="E76" i="1"/>
  <c r="H76" i="1"/>
  <c r="E81" i="1"/>
  <c r="H81" i="1"/>
  <c r="E80" i="1"/>
  <c r="H80" i="1"/>
  <c r="E82" i="1"/>
  <c r="H82" i="1"/>
  <c r="E94" i="1"/>
  <c r="H94" i="1"/>
  <c r="E92" i="1"/>
  <c r="H92" i="1"/>
  <c r="E90" i="1"/>
  <c r="H90" i="1"/>
  <c r="E88" i="1"/>
  <c r="H88" i="1"/>
  <c r="E84" i="1"/>
  <c r="H84" i="1"/>
  <c r="E86" i="1"/>
  <c r="E85" i="1"/>
  <c r="H85" i="1"/>
  <c r="E91" i="1"/>
  <c r="H91" i="1"/>
  <c r="E93" i="1"/>
  <c r="H93" i="1"/>
  <c r="E83" i="1"/>
  <c r="I55" i="1" l="1"/>
  <c r="H95" i="1"/>
  <c r="I96" i="1" l="1"/>
  <c r="E122" i="1"/>
  <c r="H122" i="1"/>
  <c r="H146" i="1" s="1"/>
  <c r="I147" i="1" l="1"/>
  <c r="E164" i="1"/>
  <c r="H164" i="1"/>
  <c r="H187" i="1" s="1"/>
  <c r="I188" i="1" l="1"/>
  <c r="E203" i="1"/>
  <c r="E209" i="1"/>
  <c r="E219" i="1"/>
  <c r="E220" i="1"/>
  <c r="H220" i="1"/>
  <c r="E221" i="1"/>
  <c r="H221" i="1"/>
  <c r="E222" i="1"/>
  <c r="H222" i="1"/>
  <c r="E224" i="1"/>
  <c r="H224" i="1"/>
  <c r="H231" i="1" l="1"/>
  <c r="I232" i="1"/>
  <c r="I362" i="1"/>
  <c r="I404" i="1" s="1"/>
  <c r="I439" i="1" s="1"/>
  <c r="E370" i="1"/>
  <c r="F370" i="1"/>
  <c r="H370" i="1"/>
  <c r="E78" i="1"/>
  <c r="F78" i="1"/>
  <c r="E38" i="1"/>
  <c r="F38" i="1"/>
  <c r="F40" i="1"/>
  <c r="E40" i="1"/>
  <c r="E56" i="1"/>
  <c r="F56" i="1"/>
  <c r="F37" i="1"/>
  <c r="E37" i="1"/>
  <c r="E79" i="1"/>
  <c r="F79" i="1"/>
  <c r="E255" i="1"/>
  <c r="F255" i="1"/>
  <c r="H255" i="1"/>
  <c r="H266" i="1"/>
  <c r="I267" i="1"/>
  <c r="F39" i="1"/>
  <c r="E39" i="1"/>
  <c r="H459" i="1"/>
  <c r="H456" i="1"/>
  <c r="F456" i="1"/>
  <c r="E4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24" authorId="0" shapeId="0" xr:uid="{00000000-0006-0000-0000-000001000000}">
      <text>
        <r>
          <rPr>
            <sz val="10"/>
            <color rgb="FF000000"/>
            <rFont val="Arial"/>
            <scheme val="minor"/>
          </rPr>
          <t>NSBE 1 - $300 of t-shirts?
	-Stevens Committees</t>
        </r>
      </text>
    </comment>
  </commentList>
</comments>
</file>

<file path=xl/sharedStrings.xml><?xml version="1.0" encoding="utf-8"?>
<sst xmlns="http://schemas.openxmlformats.org/spreadsheetml/2006/main" count="967" uniqueCount="296">
  <si>
    <t>Date of Meeting</t>
  </si>
  <si>
    <t>Organization</t>
  </si>
  <si>
    <t>AFR'd</t>
  </si>
  <si>
    <t>Amended</t>
  </si>
  <si>
    <t>After Amendments</t>
  </si>
  <si>
    <t>Status</t>
  </si>
  <si>
    <t>Final Amount</t>
  </si>
  <si>
    <t>Name of Org</t>
  </si>
  <si>
    <t>Entered in KFS?</t>
  </si>
  <si>
    <t>Account Number</t>
  </si>
  <si>
    <t>Object Code 6140</t>
  </si>
  <si>
    <t>Comes from 1200927</t>
  </si>
  <si>
    <t>Pre-Semester Emergenices</t>
  </si>
  <si>
    <t>SGA</t>
  </si>
  <si>
    <t>Approved</t>
  </si>
  <si>
    <t>SDS</t>
  </si>
  <si>
    <t>AED</t>
  </si>
  <si>
    <t>CSU</t>
  </si>
  <si>
    <t>Hillel</t>
  </si>
  <si>
    <t>SHPE</t>
  </si>
  <si>
    <t>MENNA</t>
  </si>
  <si>
    <t>Anime Club</t>
  </si>
  <si>
    <t>SWE 1</t>
  </si>
  <si>
    <t>S01000033</t>
  </si>
  <si>
    <t>SWE 2</t>
  </si>
  <si>
    <t>SWiCS</t>
  </si>
  <si>
    <t>SWIB</t>
  </si>
  <si>
    <t>INCOSE</t>
  </si>
  <si>
    <t>CSA 1</t>
  </si>
  <si>
    <t>CSA 2</t>
  </si>
  <si>
    <t>ASME</t>
  </si>
  <si>
    <t>MSA</t>
  </si>
  <si>
    <t>Stevens Signs</t>
  </si>
  <si>
    <t>Cc1000166</t>
  </si>
  <si>
    <t>Jazba</t>
  </si>
  <si>
    <t>G&amp;T 1</t>
  </si>
  <si>
    <t>G&amp;T 2</t>
  </si>
  <si>
    <t>G&amp;T 3</t>
  </si>
  <si>
    <t>G&amp;T 4</t>
  </si>
  <si>
    <t>VSA</t>
  </si>
  <si>
    <t>Mock Trial</t>
  </si>
  <si>
    <t>Click It 1</t>
  </si>
  <si>
    <t>Click It 2</t>
  </si>
  <si>
    <t>Click It 3</t>
  </si>
  <si>
    <t>Poker Club</t>
  </si>
  <si>
    <t>Amnesty</t>
  </si>
  <si>
    <t>SDS 1</t>
  </si>
  <si>
    <t>SDS 2</t>
  </si>
  <si>
    <t>SDS 3</t>
  </si>
  <si>
    <t>SDS 4</t>
  </si>
  <si>
    <t>Sikh</t>
  </si>
  <si>
    <t>ASCE</t>
  </si>
  <si>
    <t>SEC</t>
  </si>
  <si>
    <t>Stevens Undergraduate Research Consortium</t>
  </si>
  <si>
    <t>KSA</t>
  </si>
  <si>
    <t>OStem</t>
  </si>
  <si>
    <t>SASE</t>
  </si>
  <si>
    <t>Denied</t>
  </si>
  <si>
    <t>AiChe</t>
  </si>
  <si>
    <t>StevensTHON</t>
  </si>
  <si>
    <t>SO1000149</t>
  </si>
  <si>
    <t>FBLA</t>
  </si>
  <si>
    <t>WCPR</t>
  </si>
  <si>
    <t>cc1000166</t>
  </si>
  <si>
    <t>Badmittion</t>
  </si>
  <si>
    <t xml:space="preserve">Naval </t>
  </si>
  <si>
    <t>Chess Club</t>
  </si>
  <si>
    <t>SO1000164</t>
  </si>
  <si>
    <t>Poetry Club</t>
  </si>
  <si>
    <t>The Stute 1</t>
  </si>
  <si>
    <t>SO1000032</t>
  </si>
  <si>
    <t>The Stute 2</t>
  </si>
  <si>
    <t>Stevens Entrepreneurship Society 1</t>
  </si>
  <si>
    <t>Stevens Entrepreneurship Society 2</t>
  </si>
  <si>
    <t>FIBA</t>
  </si>
  <si>
    <t>Stevens Christian Fellowship</t>
  </si>
  <si>
    <t>Technique 1</t>
  </si>
  <si>
    <t>SO1000044</t>
  </si>
  <si>
    <t>Technique 2</t>
  </si>
  <si>
    <t>BMES</t>
  </si>
  <si>
    <t>SO1000029</t>
  </si>
  <si>
    <t>NSBE</t>
  </si>
  <si>
    <t>ALPFA</t>
  </si>
  <si>
    <t>SO1000056</t>
  </si>
  <si>
    <t>SUMAC</t>
  </si>
  <si>
    <t>Sky Mediation</t>
  </si>
  <si>
    <t>Stevens Esports 1</t>
  </si>
  <si>
    <t>SO1000058</t>
  </si>
  <si>
    <t>Stevens Esports 2</t>
  </si>
  <si>
    <t>Stevens Poker Club</t>
  </si>
  <si>
    <t>Stevens Game Devlopment</t>
  </si>
  <si>
    <t>SGA 1</t>
  </si>
  <si>
    <t>SGA 2</t>
  </si>
  <si>
    <t>SGA 3</t>
  </si>
  <si>
    <t>NSBE 1</t>
  </si>
  <si>
    <t>NSBE 2</t>
  </si>
  <si>
    <t>SWICS 1</t>
  </si>
  <si>
    <t>SO1000159</t>
  </si>
  <si>
    <t>SWICS 2</t>
  </si>
  <si>
    <t>IEEE</t>
  </si>
  <si>
    <t xml:space="preserve">INCOSE 1 </t>
  </si>
  <si>
    <t>INCOSE 2</t>
  </si>
  <si>
    <t>EWB 1</t>
  </si>
  <si>
    <t>SO1000158</t>
  </si>
  <si>
    <t>EWB 2</t>
  </si>
  <si>
    <t>Audio Engineering Club</t>
  </si>
  <si>
    <t>SO1000114</t>
  </si>
  <si>
    <t>SWIB 1</t>
  </si>
  <si>
    <t>SO1000156</t>
  </si>
  <si>
    <t>SWIB 2</t>
  </si>
  <si>
    <t>Art Installation 1</t>
  </si>
  <si>
    <t>SO1000077</t>
  </si>
  <si>
    <t>Art Installation 2</t>
  </si>
  <si>
    <t>Hillel 1</t>
  </si>
  <si>
    <t>SO1000014</t>
  </si>
  <si>
    <t>Hillel 2</t>
  </si>
  <si>
    <t>ColorStack 1</t>
  </si>
  <si>
    <t>ColorStack 2</t>
  </si>
  <si>
    <t>Cyber Defense Team</t>
  </si>
  <si>
    <t>Software Engineering 1</t>
  </si>
  <si>
    <t>Software Engineering 2</t>
  </si>
  <si>
    <t>Software Engineering 3</t>
  </si>
  <si>
    <t>OStem 2</t>
  </si>
  <si>
    <t>ASME 1</t>
  </si>
  <si>
    <t>ASME 2</t>
  </si>
  <si>
    <t>ISA 1</t>
  </si>
  <si>
    <t>ISA 2</t>
  </si>
  <si>
    <t xml:space="preserve">Stevens Christian </t>
  </si>
  <si>
    <t>Stevens TECHnique 1</t>
  </si>
  <si>
    <t>Stevens TECHnique 2</t>
  </si>
  <si>
    <t>SSAI 1</t>
  </si>
  <si>
    <t>SSAI 2</t>
  </si>
  <si>
    <t>Empowerher 1</t>
  </si>
  <si>
    <t>empowerher 2</t>
  </si>
  <si>
    <t>SWE</t>
  </si>
  <si>
    <t>Stevens Game Development</t>
  </si>
  <si>
    <t>Creative Story Telling</t>
  </si>
  <si>
    <t>Stevens Christian Fellowship 1</t>
  </si>
  <si>
    <t>Stevens Christian Fellowship 2</t>
  </si>
  <si>
    <t>Poker</t>
  </si>
  <si>
    <t>EmpowerHer</t>
  </si>
  <si>
    <t>?</t>
  </si>
  <si>
    <t>CC1000166</t>
  </si>
  <si>
    <t>SITTV</t>
  </si>
  <si>
    <t>StevensTHON 1</t>
  </si>
  <si>
    <t>StevensTHON 2</t>
  </si>
  <si>
    <t>ISA</t>
  </si>
  <si>
    <t>Computer Science Club</t>
  </si>
  <si>
    <t>SASE 1</t>
  </si>
  <si>
    <t>SASE 2</t>
  </si>
  <si>
    <t>KSA 1</t>
  </si>
  <si>
    <t>KSA 2</t>
  </si>
  <si>
    <t>ESC</t>
  </si>
  <si>
    <t>AlChe</t>
  </si>
  <si>
    <t>Historical Society</t>
  </si>
  <si>
    <t>ColorStack 3</t>
  </si>
  <si>
    <t>Robotics</t>
  </si>
  <si>
    <t>RGB</t>
  </si>
  <si>
    <t>Badminton Club</t>
  </si>
  <si>
    <t>SO1000128</t>
  </si>
  <si>
    <t>American Chemical Society</t>
  </si>
  <si>
    <t>OStem 1</t>
  </si>
  <si>
    <t xml:space="preserve">Creative Storytelling </t>
  </si>
  <si>
    <t>Michael</t>
  </si>
  <si>
    <t>Tennis Club</t>
  </si>
  <si>
    <t>SCG</t>
  </si>
  <si>
    <t>SURC</t>
  </si>
  <si>
    <t>AIChe 1</t>
  </si>
  <si>
    <t>AIChe 2</t>
  </si>
  <si>
    <t>SNAME</t>
  </si>
  <si>
    <t>WC</t>
  </si>
  <si>
    <t>Click It</t>
  </si>
  <si>
    <t>SCDT</t>
  </si>
  <si>
    <t>Justin</t>
  </si>
  <si>
    <t>Prisha</t>
  </si>
  <si>
    <t>Stevens Health Professionals Club 1</t>
  </si>
  <si>
    <t>Stevens Health Professionals Club 2</t>
  </si>
  <si>
    <t>Autumn</t>
  </si>
  <si>
    <t>The Stute 3</t>
  </si>
  <si>
    <t>Madyson</t>
  </si>
  <si>
    <t>Stevens Computer Science Club 1</t>
  </si>
  <si>
    <t>Stevens Computer Science Club 2</t>
  </si>
  <si>
    <t>Shreya</t>
  </si>
  <si>
    <t>Stevens Esports</t>
  </si>
  <si>
    <t>Chris</t>
  </si>
  <si>
    <t>Mock Trial 1</t>
  </si>
  <si>
    <t>Mock Trial 2</t>
  </si>
  <si>
    <t>Stevens Furry Club</t>
  </si>
  <si>
    <t>MENAA</t>
  </si>
  <si>
    <t>Stevens Hellenic Society 1</t>
  </si>
  <si>
    <t>Stevens Hellenic Society 2</t>
  </si>
  <si>
    <t>SGA 4</t>
  </si>
  <si>
    <t>Approved last week</t>
  </si>
  <si>
    <t>Made a reallocation</t>
  </si>
  <si>
    <t>Software Engineering Club</t>
  </si>
  <si>
    <t>Stevens Hellenic Society</t>
  </si>
  <si>
    <t>REALLOCATION TOO</t>
  </si>
  <si>
    <t>IEEE 1</t>
  </si>
  <si>
    <t>IEEE 2</t>
  </si>
  <si>
    <t>JSA</t>
  </si>
  <si>
    <t>EmpowerHer 1</t>
  </si>
  <si>
    <t>EmpowerHer 2</t>
  </si>
  <si>
    <t>EmpowerHer 3</t>
  </si>
  <si>
    <t>Stevens Health Professionals</t>
  </si>
  <si>
    <t>SWIC's</t>
  </si>
  <si>
    <t>ACS</t>
  </si>
  <si>
    <t>American Nuclear Soceity</t>
  </si>
  <si>
    <t>Stevens Esports2</t>
  </si>
  <si>
    <t>REALLO</t>
  </si>
  <si>
    <t>ALPFA 1</t>
  </si>
  <si>
    <t>ColorStack</t>
  </si>
  <si>
    <t>MSA 1</t>
  </si>
  <si>
    <t>MSA 2</t>
  </si>
  <si>
    <t>MSA 3</t>
  </si>
  <si>
    <t>Supposed to be in realloc</t>
  </si>
  <si>
    <t>SSAI</t>
  </si>
  <si>
    <t>CSA</t>
  </si>
  <si>
    <t>SWICS</t>
  </si>
  <si>
    <t>Off Center</t>
  </si>
  <si>
    <t>Computer Science Club 1</t>
  </si>
  <si>
    <t>Art Installations</t>
  </si>
  <si>
    <t>Mock Trial 3</t>
  </si>
  <si>
    <t>Keiza</t>
  </si>
  <si>
    <t>Stevens Creative Storytelling Club</t>
  </si>
  <si>
    <t>Stevens Computer Science Club</t>
  </si>
  <si>
    <t>Sam</t>
  </si>
  <si>
    <t>Robotics Club</t>
  </si>
  <si>
    <t>Commuter Student Union 1</t>
  </si>
  <si>
    <t>Commuter Student Union 2</t>
  </si>
  <si>
    <t>ESC 1</t>
  </si>
  <si>
    <t>ESC 2</t>
  </si>
  <si>
    <t>The Link</t>
  </si>
  <si>
    <t>Stevens Running Club</t>
  </si>
  <si>
    <t xml:space="preserve">Cyber Defense </t>
  </si>
  <si>
    <t>SWiCS 1</t>
  </si>
  <si>
    <t>SWiCS 2</t>
  </si>
  <si>
    <t>SWiCS 3</t>
  </si>
  <si>
    <t>SWiCS 4</t>
  </si>
  <si>
    <t>Lana</t>
  </si>
  <si>
    <t>SEEPS</t>
  </si>
  <si>
    <t>Console Gaming  1</t>
  </si>
  <si>
    <t>RGB Photo</t>
  </si>
  <si>
    <t>SPS</t>
  </si>
  <si>
    <t xml:space="preserve">Omega Chi Epsilon </t>
  </si>
  <si>
    <t>FAST</t>
  </si>
  <si>
    <t>Castle Point Anime Convention</t>
  </si>
  <si>
    <t>LAA</t>
  </si>
  <si>
    <t>Sky Meditation</t>
  </si>
  <si>
    <t>Stevens Amnesty International</t>
  </si>
  <si>
    <t>SCF</t>
  </si>
  <si>
    <t>SGA 5</t>
  </si>
  <si>
    <t>Computer Science Club 2</t>
  </si>
  <si>
    <t>CS Club 1</t>
  </si>
  <si>
    <t>CS Club 2</t>
  </si>
  <si>
    <t>CS Club 3</t>
  </si>
  <si>
    <t>CS Club 4</t>
  </si>
  <si>
    <t>SKY Meditation</t>
  </si>
  <si>
    <t>TECHnique Dance 1</t>
  </si>
  <si>
    <t>TECHnique Dance 2</t>
  </si>
  <si>
    <t>StevensTHON 3</t>
  </si>
  <si>
    <t>SJP 1</t>
  </si>
  <si>
    <t>SJP 2</t>
  </si>
  <si>
    <t>Software Engineering Club 1</t>
  </si>
  <si>
    <t>Software Engineering Club 2</t>
  </si>
  <si>
    <t>Stevens Cyber Defense Team 1</t>
  </si>
  <si>
    <t>Stevens Cyber Defense Team 2</t>
  </si>
  <si>
    <t>Stevens Cyber Defense Team 3</t>
  </si>
  <si>
    <t>Habitat for Humanity</t>
  </si>
  <si>
    <t>Computer and Console Gaming Society 1</t>
  </si>
  <si>
    <t>Computer and Console Gaming Society 2</t>
  </si>
  <si>
    <t xml:space="preserve">Gear &amp; Triangle </t>
  </si>
  <si>
    <t>The Stute  1</t>
  </si>
  <si>
    <t>The Stute  2</t>
  </si>
  <si>
    <t>The Stute  3</t>
  </si>
  <si>
    <t>SHPC</t>
  </si>
  <si>
    <t xml:space="preserve">Trivia </t>
  </si>
  <si>
    <t xml:space="preserve">Castle Point Anime Convention </t>
  </si>
  <si>
    <t>INCOSE 1</t>
  </si>
  <si>
    <t>Castle Point Book Club</t>
  </si>
  <si>
    <t xml:space="preserve">Click It </t>
  </si>
  <si>
    <t>Newman Cathlic</t>
  </si>
  <si>
    <t>EWB</t>
  </si>
  <si>
    <t>Realloc</t>
  </si>
  <si>
    <t>C2GS</t>
  </si>
  <si>
    <t>SASA</t>
  </si>
  <si>
    <t>Blueprint</t>
  </si>
  <si>
    <t xml:space="preserve">Poker </t>
  </si>
  <si>
    <t>Castle Point Radio</t>
  </si>
  <si>
    <t>FAST 1</t>
  </si>
  <si>
    <t>FAST 2</t>
  </si>
  <si>
    <t>Did they even need to come?</t>
  </si>
  <si>
    <t>TECHnique</t>
  </si>
  <si>
    <t>Stevens Drama Society</t>
  </si>
  <si>
    <t>Console Gaming</t>
  </si>
  <si>
    <t>Tennis</t>
  </si>
  <si>
    <t>Stevens Mock 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</si>
</sst>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m/d/yy"/>
  </numFmts>
  <fonts count="14">
    <font>
      <sz val="10"/>
      <color rgb="FF000000"/>
      <name val="Arial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u/>
      <sz val="12"/>
      <color rgb="FF1155CC"/>
      <name val="Times New Roman"/>
    </font>
    <font>
      <sz val="10"/>
      <color theme="1"/>
      <name val="Arial"/>
      <scheme val="minor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-apple-system"/>
    </font>
    <font>
      <sz val="11"/>
      <color rgb="FF333333"/>
      <name val="-Apple-System"/>
      <charset val="1"/>
    </font>
    <font>
      <sz val="12"/>
      <color theme="0"/>
      <name val="Times New Roman"/>
    </font>
    <font>
      <u/>
      <sz val="10"/>
      <color theme="10"/>
      <name val="Arial"/>
      <scheme val="minor"/>
    </font>
    <font>
      <sz val="12"/>
      <color rgb="FF000000"/>
      <name val="Times New Roman"/>
      <charset val="1"/>
    </font>
    <font>
      <u/>
      <sz val="12"/>
      <color theme="1"/>
      <name val="Times New Roman"/>
    </font>
    <font>
      <sz val="12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1" fillId="0" borderId="0" xfId="0" applyFont="1"/>
    <xf numFmtId="0" fontId="1" fillId="3" borderId="0" xfId="0" applyFont="1" applyFill="1"/>
    <xf numFmtId="165" fontId="1" fillId="4" borderId="0" xfId="0" applyNumberFormat="1" applyFont="1" applyFill="1" applyAlignment="1">
      <alignment horizontal="right"/>
    </xf>
    <xf numFmtId="0" fontId="1" fillId="4" borderId="0" xfId="0" applyFont="1" applyFill="1"/>
    <xf numFmtId="0" fontId="3" fillId="0" borderId="0" xfId="0" applyFont="1"/>
    <xf numFmtId="164" fontId="1" fillId="0" borderId="0" xfId="0" applyNumberFormat="1" applyFont="1"/>
    <xf numFmtId="4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164" fontId="1" fillId="2" borderId="0" xfId="0" applyNumberFormat="1" applyFont="1" applyFill="1" applyAlignment="1">
      <alignment horizontal="right"/>
    </xf>
    <xf numFmtId="164" fontId="1" fillId="3" borderId="0" xfId="0" applyNumberFormat="1" applyFont="1" applyFill="1"/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0" fontId="1" fillId="4" borderId="0" xfId="0" applyFont="1" applyFill="1" applyAlignment="1">
      <alignment horizontal="left"/>
    </xf>
    <xf numFmtId="164" fontId="1" fillId="4" borderId="0" xfId="0" applyNumberFormat="1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4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16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164" fontId="1" fillId="3" borderId="0" xfId="0" applyNumberFormat="1" applyFont="1" applyFill="1" applyAlignment="1">
      <alignment horizontal="left"/>
    </xf>
    <xf numFmtId="165" fontId="1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/>
    <xf numFmtId="0" fontId="8" fillId="5" borderId="0" xfId="0" applyFont="1" applyFill="1" applyAlignment="1">
      <alignment wrapText="1"/>
    </xf>
    <xf numFmtId="0" fontId="10" fillId="0" borderId="0" xfId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9" fillId="6" borderId="2" xfId="0" applyFont="1" applyFill="1" applyBorder="1" applyAlignment="1">
      <alignment horizontal="left"/>
    </xf>
    <xf numFmtId="4" fontId="1" fillId="4" borderId="0" xfId="0" applyNumberFormat="1" applyFont="1" applyFill="1" applyAlignment="1">
      <alignment horizontal="left"/>
    </xf>
    <xf numFmtId="164" fontId="4" fillId="0" borderId="0" xfId="0" applyNumberFormat="1" applyFont="1" applyAlignment="1">
      <alignment horizontal="left"/>
    </xf>
    <xf numFmtId="0" fontId="11" fillId="0" borderId="0" xfId="0" applyFont="1"/>
    <xf numFmtId="0" fontId="1" fillId="7" borderId="0" xfId="0" applyFont="1" applyFill="1"/>
    <xf numFmtId="164" fontId="1" fillId="7" borderId="0" xfId="0" applyNumberFormat="1" applyFont="1" applyFill="1" applyAlignment="1">
      <alignment horizontal="right"/>
    </xf>
    <xf numFmtId="44" fontId="1" fillId="7" borderId="0" xfId="0" applyNumberFormat="1" applyFont="1" applyFill="1" applyAlignment="1">
      <alignment horizontal="right"/>
    </xf>
    <xf numFmtId="0" fontId="12" fillId="0" borderId="0" xfId="0" applyFont="1"/>
    <xf numFmtId="0" fontId="1" fillId="0" borderId="0" xfId="0" applyFont="1" applyAlignment="1">
      <alignment wrapText="1"/>
    </xf>
    <xf numFmtId="0" fontId="13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../../../../../../../../:x:/s/DivisionofStudentAffairs2/ES5pRCLP9WxJpwGAArEbUzABX7i6TsQP0e31BxtI_Lozjw?e=Ihdk9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06"/>
  <sheetViews>
    <sheetView tabSelected="1" workbookViewId="0">
      <pane ySplit="1" topLeftCell="B441" activePane="bottomLeft" state="frozen"/>
      <selection pane="bottomLeft" activeCell="G454" sqref="G454"/>
    </sheetView>
  </sheetViews>
  <sheetFormatPr defaultColWidth="12.5703125" defaultRowHeight="15.75" customHeight="1"/>
  <cols>
    <col min="1" max="1" width="17.7109375" style="22" customWidth="1"/>
    <col min="2" max="3" width="46.28515625" style="22" customWidth="1"/>
    <col min="4" max="4" width="28.28515625" style="22" bestFit="1" customWidth="1"/>
    <col min="5" max="5" width="19.140625" style="22" customWidth="1"/>
    <col min="6" max="6" width="20.5703125" style="22" customWidth="1"/>
    <col min="7" max="7" width="12.5703125" style="22"/>
    <col min="8" max="8" width="21.7109375" style="22" customWidth="1"/>
    <col min="9" max="9" width="36.85546875" style="22" customWidth="1"/>
    <col min="10" max="10" width="18.7109375" style="22" customWidth="1"/>
    <col min="11" max="11" width="18.140625" style="22" customWidth="1"/>
    <col min="12" max="12" width="16.28515625" style="22" customWidth="1"/>
    <col min="13" max="16384" width="12.5703125" style="22"/>
  </cols>
  <sheetData>
    <row r="1" spans="1:27" ht="15.4">
      <c r="A1" s="12" t="s">
        <v>0</v>
      </c>
      <c r="B1" s="20"/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1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15.4">
      <c r="A2" s="23" t="s">
        <v>12</v>
      </c>
      <c r="B2" s="23"/>
      <c r="C2" s="23"/>
      <c r="D2" s="23"/>
      <c r="E2" s="23"/>
      <c r="F2" s="23"/>
      <c r="G2" s="23"/>
      <c r="H2" s="23"/>
      <c r="I2" s="24">
        <v>197509.2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5.4">
      <c r="A3" s="39"/>
      <c r="B3" s="12"/>
      <c r="C3" s="12" t="s">
        <v>13</v>
      </c>
      <c r="D3" s="25">
        <v>5450</v>
      </c>
      <c r="E3" s="26">
        <f t="shared" ref="E3:E14" si="0">D3-F3</f>
        <v>0</v>
      </c>
      <c r="F3" s="25">
        <v>5450</v>
      </c>
      <c r="G3" s="12" t="s">
        <v>14</v>
      </c>
      <c r="H3" s="25">
        <f t="shared" ref="H3:H15" si="1">IF(G3="Approved",F3,0)</f>
        <v>5450</v>
      </c>
      <c r="I3" s="12" t="str">
        <f t="shared" ref="I3:I15" si="2">C3</f>
        <v>SGA</v>
      </c>
      <c r="J3" s="12"/>
      <c r="K3" s="12">
        <v>1200927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5.4">
      <c r="A4" s="40"/>
      <c r="B4" s="12"/>
      <c r="C4" s="12" t="s">
        <v>15</v>
      </c>
      <c r="D4" s="25">
        <v>2020</v>
      </c>
      <c r="E4" s="26">
        <f t="shared" si="0"/>
        <v>0</v>
      </c>
      <c r="F4" s="25">
        <v>2020</v>
      </c>
      <c r="G4" s="12" t="s">
        <v>14</v>
      </c>
      <c r="H4" s="25">
        <f t="shared" si="1"/>
        <v>2020</v>
      </c>
      <c r="I4" s="12" t="str">
        <f t="shared" si="2"/>
        <v>SDS</v>
      </c>
      <c r="J4" s="12"/>
      <c r="K4" s="12">
        <v>1200914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5.4">
      <c r="A5" s="40"/>
      <c r="B5" s="12"/>
      <c r="C5" s="12" t="s">
        <v>16</v>
      </c>
      <c r="D5" s="25">
        <v>65</v>
      </c>
      <c r="E5" s="26">
        <f t="shared" si="0"/>
        <v>0</v>
      </c>
      <c r="F5" s="25">
        <v>65</v>
      </c>
      <c r="G5" s="12" t="s">
        <v>14</v>
      </c>
      <c r="H5" s="25">
        <f t="shared" si="1"/>
        <v>65</v>
      </c>
      <c r="I5" s="12" t="str">
        <f t="shared" si="2"/>
        <v>AED</v>
      </c>
      <c r="J5" s="12"/>
      <c r="K5" s="27">
        <v>1200910</v>
      </c>
      <c r="L5" s="27"/>
      <c r="M5" s="27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15.4">
      <c r="A6" s="40"/>
      <c r="B6" s="12"/>
      <c r="C6" s="12" t="s">
        <v>17</v>
      </c>
      <c r="D6" s="25">
        <v>271.3</v>
      </c>
      <c r="E6" s="26">
        <f t="shared" si="0"/>
        <v>0</v>
      </c>
      <c r="F6" s="25">
        <v>271.3</v>
      </c>
      <c r="G6" s="12" t="s">
        <v>14</v>
      </c>
      <c r="H6" s="25">
        <f t="shared" si="1"/>
        <v>271.3</v>
      </c>
      <c r="I6" s="12" t="str">
        <f t="shared" si="2"/>
        <v>CSU</v>
      </c>
      <c r="J6" s="12"/>
      <c r="K6" s="27">
        <v>1201394</v>
      </c>
      <c r="L6" s="27"/>
      <c r="M6" s="27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15.4">
      <c r="A7" s="40"/>
      <c r="B7" s="12"/>
      <c r="C7" s="12" t="s">
        <v>18</v>
      </c>
      <c r="D7" s="25">
        <v>200</v>
      </c>
      <c r="E7" s="26">
        <f t="shared" si="0"/>
        <v>0</v>
      </c>
      <c r="F7" s="25">
        <v>200</v>
      </c>
      <c r="G7" s="12" t="s">
        <v>14</v>
      </c>
      <c r="H7" s="25">
        <f t="shared" si="1"/>
        <v>200</v>
      </c>
      <c r="I7" s="12" t="str">
        <f t="shared" si="2"/>
        <v>Hillel</v>
      </c>
      <c r="J7" s="12"/>
      <c r="K7" s="27">
        <v>1200923</v>
      </c>
      <c r="L7" s="27"/>
      <c r="M7" s="27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15.4">
      <c r="A8" s="40"/>
      <c r="B8" s="12"/>
      <c r="C8" s="12" t="s">
        <v>19</v>
      </c>
      <c r="D8" s="25">
        <v>3200</v>
      </c>
      <c r="E8" s="26">
        <f t="shared" si="0"/>
        <v>0</v>
      </c>
      <c r="F8" s="25">
        <v>3200</v>
      </c>
      <c r="G8" s="12" t="s">
        <v>14</v>
      </c>
      <c r="H8" s="25">
        <f t="shared" si="1"/>
        <v>3200</v>
      </c>
      <c r="I8" s="12" t="str">
        <f t="shared" si="2"/>
        <v>SHPE</v>
      </c>
      <c r="J8" s="12"/>
      <c r="K8" s="27"/>
      <c r="L8" s="27"/>
      <c r="M8" s="27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5.4">
      <c r="A9" s="40"/>
      <c r="B9" s="12"/>
      <c r="C9" s="12"/>
      <c r="D9" s="25"/>
      <c r="E9" s="26">
        <f t="shared" si="0"/>
        <v>0</v>
      </c>
      <c r="F9" s="25"/>
      <c r="G9" s="12"/>
      <c r="H9" s="25">
        <f>IF(G9="Approved",F9,0)</f>
        <v>0</v>
      </c>
      <c r="I9" s="12">
        <f t="shared" si="2"/>
        <v>0</v>
      </c>
      <c r="J9" s="12"/>
      <c r="K9" s="27"/>
      <c r="L9" s="27"/>
      <c r="M9" s="27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5.4">
      <c r="A10" s="40"/>
      <c r="B10" s="12"/>
      <c r="C10" s="12"/>
      <c r="D10" s="25"/>
      <c r="E10" s="26">
        <f t="shared" si="0"/>
        <v>0</v>
      </c>
      <c r="F10" s="25"/>
      <c r="G10" s="12"/>
      <c r="H10" s="25">
        <f t="shared" si="1"/>
        <v>0</v>
      </c>
      <c r="I10" s="12">
        <f t="shared" si="2"/>
        <v>0</v>
      </c>
      <c r="J10" s="12"/>
      <c r="K10" s="27"/>
      <c r="L10" s="27"/>
      <c r="M10" s="27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.4">
      <c r="A11" s="40"/>
      <c r="B11" s="12"/>
      <c r="C11" s="12"/>
      <c r="D11" s="25"/>
      <c r="E11" s="26">
        <f t="shared" si="0"/>
        <v>0</v>
      </c>
      <c r="F11" s="25"/>
      <c r="G11" s="12"/>
      <c r="H11" s="28">
        <f t="shared" si="1"/>
        <v>0</v>
      </c>
      <c r="I11" s="12">
        <f t="shared" si="2"/>
        <v>0</v>
      </c>
      <c r="J11" s="12"/>
      <c r="K11" s="27"/>
      <c r="L11" s="27"/>
      <c r="M11" s="27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5.4">
      <c r="A12" s="40"/>
      <c r="B12" s="12"/>
      <c r="C12" s="12"/>
      <c r="D12" s="25"/>
      <c r="E12" s="26">
        <f t="shared" si="0"/>
        <v>0</v>
      </c>
      <c r="F12" s="25"/>
      <c r="G12" s="12"/>
      <c r="H12" s="28">
        <f t="shared" si="1"/>
        <v>0</v>
      </c>
      <c r="I12" s="12">
        <f t="shared" si="2"/>
        <v>0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5.4">
      <c r="A13" s="40"/>
      <c r="B13" s="12"/>
      <c r="C13" s="12"/>
      <c r="D13" s="25"/>
      <c r="E13" s="26">
        <f t="shared" si="0"/>
        <v>0</v>
      </c>
      <c r="F13" s="25"/>
      <c r="G13" s="12"/>
      <c r="H13" s="28">
        <f t="shared" si="1"/>
        <v>0</v>
      </c>
      <c r="I13" s="12">
        <f t="shared" si="2"/>
        <v>0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.4">
      <c r="A14" s="40"/>
      <c r="B14" s="12"/>
      <c r="C14" s="12"/>
      <c r="D14" s="25"/>
      <c r="E14" s="26">
        <f t="shared" si="0"/>
        <v>0</v>
      </c>
      <c r="F14" s="25"/>
      <c r="G14" s="12"/>
      <c r="H14" s="28">
        <f t="shared" si="1"/>
        <v>0</v>
      </c>
      <c r="I14" s="12">
        <f t="shared" si="2"/>
        <v>0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.4">
      <c r="A15" s="40"/>
      <c r="B15" s="12"/>
      <c r="C15" s="12"/>
      <c r="D15" s="25"/>
      <c r="E15" s="26">
        <f>D15-F15</f>
        <v>0</v>
      </c>
      <c r="F15" s="25"/>
      <c r="G15" s="12"/>
      <c r="H15" s="28">
        <f t="shared" si="1"/>
        <v>0</v>
      </c>
      <c r="I15" s="12">
        <f t="shared" si="2"/>
        <v>0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.4">
      <c r="A16" s="40"/>
      <c r="B16" s="29"/>
      <c r="C16" s="29"/>
      <c r="D16" s="29"/>
      <c r="E16" s="29"/>
      <c r="F16" s="29"/>
      <c r="G16" s="29"/>
      <c r="H16" s="30">
        <f>SUM(H3:H15)</f>
        <v>11206.3</v>
      </c>
      <c r="I16" s="29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.4">
      <c r="A17" s="40"/>
      <c r="B17" s="23"/>
      <c r="C17" s="23"/>
      <c r="D17" s="23"/>
      <c r="E17" s="23"/>
      <c r="F17" s="23"/>
      <c r="G17" s="23"/>
      <c r="H17" s="23"/>
      <c r="I17" s="24">
        <f>I2-H16</f>
        <v>186302.90000000002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.4">
      <c r="A18" s="40"/>
      <c r="B18" s="38"/>
      <c r="C18" s="12" t="s">
        <v>20</v>
      </c>
      <c r="D18" s="25">
        <v>181.47</v>
      </c>
      <c r="E18" s="26">
        <f t="shared" ref="E18" si="3">D18-F18</f>
        <v>0</v>
      </c>
      <c r="F18" s="25">
        <v>181.47</v>
      </c>
      <c r="G18" s="12" t="s">
        <v>14</v>
      </c>
      <c r="H18" s="25">
        <f t="shared" ref="H18:H31" si="4">IF(G18="Approved",F18,0)</f>
        <v>181.47</v>
      </c>
      <c r="I18" s="12" t="str">
        <f t="shared" ref="I18:I30" si="5">C18</f>
        <v>MENNA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.4">
      <c r="A19" s="40"/>
      <c r="B19" s="12"/>
      <c r="C19" s="12" t="s">
        <v>21</v>
      </c>
      <c r="D19" s="25">
        <v>808.23</v>
      </c>
      <c r="E19" s="26">
        <f t="shared" ref="E19:E53" si="6">D19-F19</f>
        <v>0</v>
      </c>
      <c r="F19" s="25">
        <v>808.23</v>
      </c>
      <c r="G19" s="12" t="s">
        <v>14</v>
      </c>
      <c r="H19" s="25">
        <f t="shared" si="4"/>
        <v>808.23</v>
      </c>
      <c r="I19" s="12" t="str">
        <f t="shared" si="5"/>
        <v>Anime Club</v>
      </c>
      <c r="J19" s="12"/>
      <c r="K19" s="36">
        <v>1201106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.4">
      <c r="A20" s="40"/>
      <c r="B20" s="12"/>
      <c r="C20" s="12" t="s">
        <v>22</v>
      </c>
      <c r="D20" s="25">
        <v>2400</v>
      </c>
      <c r="E20" s="26">
        <f t="shared" si="6"/>
        <v>0</v>
      </c>
      <c r="F20" s="25">
        <v>2400</v>
      </c>
      <c r="G20" s="12" t="s">
        <v>14</v>
      </c>
      <c r="H20" s="25">
        <f t="shared" si="4"/>
        <v>2400</v>
      </c>
      <c r="I20" s="12" t="str">
        <f t="shared" si="5"/>
        <v>SWE 1</v>
      </c>
      <c r="J20" s="12"/>
      <c r="K20" s="37" t="s">
        <v>23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.4">
      <c r="A21" s="40"/>
      <c r="B21" s="12"/>
      <c r="C21" s="12" t="s">
        <v>24</v>
      </c>
      <c r="D21" s="25">
        <v>100</v>
      </c>
      <c r="E21" s="26">
        <f t="shared" si="6"/>
        <v>0</v>
      </c>
      <c r="F21" s="25">
        <v>100</v>
      </c>
      <c r="G21" s="12" t="s">
        <v>14</v>
      </c>
      <c r="H21" s="25">
        <f t="shared" si="4"/>
        <v>100</v>
      </c>
      <c r="I21" s="12" t="str">
        <f t="shared" si="5"/>
        <v>SWE 2</v>
      </c>
      <c r="J21" s="12"/>
      <c r="K21" s="37" t="s">
        <v>23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.4">
      <c r="A22" s="40"/>
      <c r="B22" s="12"/>
      <c r="C22" s="36" t="s">
        <v>25</v>
      </c>
      <c r="D22" s="25">
        <v>38.08</v>
      </c>
      <c r="E22" s="26">
        <f t="shared" si="6"/>
        <v>0</v>
      </c>
      <c r="F22" s="25">
        <v>38.08</v>
      </c>
      <c r="G22" s="12" t="s">
        <v>14</v>
      </c>
      <c r="H22" s="25">
        <f t="shared" si="4"/>
        <v>38.08</v>
      </c>
      <c r="I22" s="12" t="str">
        <f t="shared" si="5"/>
        <v>SWiCS</v>
      </c>
      <c r="J22" s="12"/>
      <c r="K22" s="36">
        <v>1201496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.4">
      <c r="A23" s="40"/>
      <c r="B23" s="12"/>
      <c r="C23" s="12" t="s">
        <v>26</v>
      </c>
      <c r="D23" s="25">
        <v>270.17</v>
      </c>
      <c r="E23" s="26">
        <f t="shared" si="6"/>
        <v>0</v>
      </c>
      <c r="F23" s="25">
        <v>270.17</v>
      </c>
      <c r="G23" s="12" t="s">
        <v>14</v>
      </c>
      <c r="H23" s="25">
        <f t="shared" si="4"/>
        <v>270.17</v>
      </c>
      <c r="I23" s="12" t="str">
        <f t="shared" si="5"/>
        <v>SWIB</v>
      </c>
      <c r="J23" s="12"/>
      <c r="K23" s="36">
        <v>1201493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.4">
      <c r="A24" s="40"/>
      <c r="B24" s="12"/>
      <c r="C24" s="12" t="s">
        <v>27</v>
      </c>
      <c r="D24" s="25">
        <v>98.27</v>
      </c>
      <c r="E24" s="26">
        <f t="shared" si="6"/>
        <v>-1.730000000000004</v>
      </c>
      <c r="F24" s="25">
        <v>100</v>
      </c>
      <c r="G24" s="12" t="s">
        <v>14</v>
      </c>
      <c r="H24" s="25">
        <f t="shared" si="4"/>
        <v>100</v>
      </c>
      <c r="I24" s="12" t="str">
        <f t="shared" si="5"/>
        <v>INCOSE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.4">
      <c r="A25" s="40"/>
      <c r="B25" s="38"/>
      <c r="C25" s="12" t="s">
        <v>28</v>
      </c>
      <c r="D25" s="25">
        <v>668.75</v>
      </c>
      <c r="E25" s="26">
        <f t="shared" si="6"/>
        <v>0</v>
      </c>
      <c r="F25" s="25">
        <v>668.75</v>
      </c>
      <c r="G25" s="12" t="s">
        <v>14</v>
      </c>
      <c r="H25" s="25">
        <f t="shared" si="4"/>
        <v>668.75</v>
      </c>
      <c r="I25" s="12" t="str">
        <f t="shared" si="5"/>
        <v>CSA 1</v>
      </c>
      <c r="J25" s="12"/>
      <c r="K25" s="36">
        <v>1201136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.4">
      <c r="A26" s="40"/>
      <c r="B26" s="38"/>
      <c r="C26" s="12" t="s">
        <v>29</v>
      </c>
      <c r="D26" s="25">
        <v>120</v>
      </c>
      <c r="E26" s="26">
        <f t="shared" si="6"/>
        <v>0</v>
      </c>
      <c r="F26" s="25">
        <v>120</v>
      </c>
      <c r="G26" s="12" t="s">
        <v>14</v>
      </c>
      <c r="H26" s="25">
        <f t="shared" si="4"/>
        <v>120</v>
      </c>
      <c r="I26" s="12" t="str">
        <f t="shared" si="5"/>
        <v>CSA 2</v>
      </c>
      <c r="J26" s="12"/>
      <c r="K26" s="36">
        <v>1201136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.4">
      <c r="A27" s="40"/>
      <c r="B27" s="12"/>
      <c r="C27" s="12" t="s">
        <v>30</v>
      </c>
      <c r="D27" s="25">
        <v>636.70000000000005</v>
      </c>
      <c r="E27" s="26">
        <f t="shared" si="6"/>
        <v>586.70000000000005</v>
      </c>
      <c r="F27" s="25">
        <v>50</v>
      </c>
      <c r="G27" s="12" t="s">
        <v>14</v>
      </c>
      <c r="H27" s="25">
        <f t="shared" si="4"/>
        <v>50</v>
      </c>
      <c r="I27" s="12" t="str">
        <f t="shared" si="5"/>
        <v>ASME</v>
      </c>
      <c r="J27" s="12"/>
      <c r="K27" s="36">
        <v>1201139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.4">
      <c r="A28" s="40"/>
      <c r="B28" s="38"/>
      <c r="C28" s="12" t="s">
        <v>31</v>
      </c>
      <c r="D28" s="25">
        <v>102.43</v>
      </c>
      <c r="E28" s="26">
        <f t="shared" si="6"/>
        <v>0</v>
      </c>
      <c r="F28" s="25">
        <v>102.43</v>
      </c>
      <c r="G28" s="12" t="s">
        <v>14</v>
      </c>
      <c r="H28" s="25">
        <f t="shared" si="4"/>
        <v>102.43</v>
      </c>
      <c r="I28" s="12" t="str">
        <f t="shared" si="5"/>
        <v>MSA</v>
      </c>
      <c r="J28" s="12"/>
      <c r="K28" s="36">
        <v>1201453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.4">
      <c r="A29" s="40"/>
      <c r="B29" s="12"/>
      <c r="C29" s="12" t="s">
        <v>32</v>
      </c>
      <c r="D29" s="25">
        <v>100</v>
      </c>
      <c r="E29" s="26">
        <f t="shared" si="6"/>
        <v>0</v>
      </c>
      <c r="F29" s="43">
        <v>100</v>
      </c>
      <c r="G29" s="12" t="s">
        <v>14</v>
      </c>
      <c r="H29" s="25">
        <f t="shared" si="4"/>
        <v>100</v>
      </c>
      <c r="I29" s="12" t="str">
        <f t="shared" si="5"/>
        <v>Stevens Signs</v>
      </c>
      <c r="J29" s="12"/>
      <c r="K29" s="27" t="s">
        <v>33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.4">
      <c r="A30" s="40"/>
      <c r="B30" s="12"/>
      <c r="C30" s="12" t="s">
        <v>34</v>
      </c>
      <c r="D30" s="25">
        <v>50</v>
      </c>
      <c r="E30" s="26">
        <f t="shared" si="6"/>
        <v>0</v>
      </c>
      <c r="F30" s="25">
        <v>50</v>
      </c>
      <c r="G30" s="12" t="s">
        <v>14</v>
      </c>
      <c r="H30" s="25">
        <f t="shared" si="4"/>
        <v>50</v>
      </c>
      <c r="I30" s="12" t="str">
        <f t="shared" si="5"/>
        <v>Jazba</v>
      </c>
      <c r="J30" s="12"/>
      <c r="K30" s="36">
        <v>1200927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.4">
      <c r="A31" s="40"/>
      <c r="B31" s="38"/>
      <c r="C31" s="12" t="s">
        <v>35</v>
      </c>
      <c r="D31" s="25">
        <v>328.35</v>
      </c>
      <c r="E31" s="26">
        <f t="shared" si="6"/>
        <v>0</v>
      </c>
      <c r="F31" s="25">
        <v>328.35</v>
      </c>
      <c r="G31" s="12" t="s">
        <v>14</v>
      </c>
      <c r="H31" s="25">
        <f t="shared" si="4"/>
        <v>328.35</v>
      </c>
      <c r="I31" s="12" t="str">
        <f t="shared" ref="I31" si="7">C31</f>
        <v>G&amp;T 1</v>
      </c>
      <c r="J31" s="12"/>
      <c r="K31" s="36">
        <v>1201114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5.4">
      <c r="A32" s="40"/>
      <c r="B32" s="12"/>
      <c r="C32" s="12" t="s">
        <v>36</v>
      </c>
      <c r="D32" s="25">
        <v>98.92</v>
      </c>
      <c r="E32" s="26">
        <f t="shared" si="6"/>
        <v>0</v>
      </c>
      <c r="F32" s="25">
        <v>98.92</v>
      </c>
      <c r="G32" s="12" t="s">
        <v>14</v>
      </c>
      <c r="H32" s="28">
        <f t="shared" ref="H32:H34" si="8">IF(G32="Approved",F32,0)</f>
        <v>98.92</v>
      </c>
      <c r="I32" s="12" t="str">
        <f t="shared" ref="I32:I34" si="9">C32</f>
        <v>G&amp;T 2</v>
      </c>
      <c r="J32" s="12"/>
      <c r="K32" s="36">
        <v>1201114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.4">
      <c r="A33" s="40"/>
      <c r="B33" s="12"/>
      <c r="C33" s="12" t="s">
        <v>37</v>
      </c>
      <c r="D33" s="25">
        <v>479.81</v>
      </c>
      <c r="E33" s="26">
        <f t="shared" si="6"/>
        <v>0</v>
      </c>
      <c r="F33" s="25">
        <v>479.81</v>
      </c>
      <c r="G33" s="12" t="s">
        <v>14</v>
      </c>
      <c r="H33" s="28">
        <f t="shared" si="8"/>
        <v>479.81</v>
      </c>
      <c r="I33" s="12" t="str">
        <f t="shared" si="9"/>
        <v>G&amp;T 3</v>
      </c>
      <c r="J33" s="12"/>
      <c r="K33" s="36">
        <v>1201114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5.4">
      <c r="A34" s="40"/>
      <c r="B34" s="12"/>
      <c r="C34" s="12" t="s">
        <v>38</v>
      </c>
      <c r="D34" s="25">
        <v>287.77999999999997</v>
      </c>
      <c r="E34" s="26">
        <f t="shared" si="6"/>
        <v>0</v>
      </c>
      <c r="F34" s="25">
        <v>287.77999999999997</v>
      </c>
      <c r="G34" s="12" t="s">
        <v>14</v>
      </c>
      <c r="H34" s="28">
        <f t="shared" si="8"/>
        <v>287.77999999999997</v>
      </c>
      <c r="I34" s="12" t="str">
        <f t="shared" si="9"/>
        <v>G&amp;T 4</v>
      </c>
      <c r="J34" s="12"/>
      <c r="K34" s="36">
        <v>1201114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5.4">
      <c r="A35" s="40"/>
      <c r="B35" s="12"/>
      <c r="C35" s="12" t="s">
        <v>39</v>
      </c>
      <c r="D35" s="25">
        <v>14.8</v>
      </c>
      <c r="E35" s="26">
        <f t="shared" si="6"/>
        <v>0</v>
      </c>
      <c r="F35" s="25">
        <v>14.8</v>
      </c>
      <c r="G35" s="12" t="s">
        <v>14</v>
      </c>
      <c r="H35" s="28">
        <f t="shared" ref="H35" si="10">IF(G35="Approved",F35,0)</f>
        <v>14.8</v>
      </c>
      <c r="I35" s="12" t="str">
        <f t="shared" ref="I35:I37" si="11">C35</f>
        <v>VSA</v>
      </c>
      <c r="J35" s="12"/>
      <c r="K35" s="36">
        <v>1200927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5.4">
      <c r="A36" s="40"/>
      <c r="B36" s="27"/>
      <c r="C36" s="12" t="s">
        <v>40</v>
      </c>
      <c r="D36" s="25">
        <v>108.78</v>
      </c>
      <c r="E36" s="26">
        <f t="shared" si="6"/>
        <v>-1.2199999999999989</v>
      </c>
      <c r="F36" s="25">
        <v>110</v>
      </c>
      <c r="G36" s="12" t="s">
        <v>14</v>
      </c>
      <c r="H36" s="28">
        <v>110</v>
      </c>
      <c r="I36" s="12" t="str">
        <f t="shared" si="11"/>
        <v>Mock Trial</v>
      </c>
      <c r="J36" s="12"/>
      <c r="K36" s="36">
        <v>1200927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5.4">
      <c r="A37" s="40"/>
      <c r="B37" s="38"/>
      <c r="C37" s="12" t="s">
        <v>41</v>
      </c>
      <c r="D37" s="25">
        <v>285.37</v>
      </c>
      <c r="E37" s="26">
        <f t="shared" ca="1" si="6"/>
        <v>0</v>
      </c>
      <c r="F37" s="25">
        <f t="shared" ref="F37:F40" ca="1" si="12">E37-G37</f>
        <v>285.37</v>
      </c>
      <c r="G37" s="12" t="s">
        <v>14</v>
      </c>
      <c r="H37" s="25">
        <v>285.37</v>
      </c>
      <c r="I37" s="12" t="str">
        <f t="shared" si="11"/>
        <v>Click It 1</v>
      </c>
      <c r="J37" s="12"/>
      <c r="K37" s="36">
        <v>12000927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5.4">
      <c r="A38" s="40"/>
      <c r="B38" s="12"/>
      <c r="C38" s="12" t="s">
        <v>42</v>
      </c>
      <c r="D38" s="25">
        <v>100.52</v>
      </c>
      <c r="E38" s="26">
        <f t="shared" ca="1" si="6"/>
        <v>0</v>
      </c>
      <c r="F38" s="25">
        <f t="shared" ca="1" si="12"/>
        <v>100.52</v>
      </c>
      <c r="G38" s="12" t="s">
        <v>14</v>
      </c>
      <c r="H38" s="25">
        <v>100.52</v>
      </c>
      <c r="I38" s="12" t="str">
        <f t="shared" ref="I38:I40" si="13">C38</f>
        <v>Click It 2</v>
      </c>
      <c r="J38" s="12"/>
      <c r="K38" s="36">
        <v>12000927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5.4">
      <c r="A39" s="41"/>
      <c r="B39" s="12"/>
      <c r="C39" s="12" t="s">
        <v>43</v>
      </c>
      <c r="D39" s="25">
        <v>120</v>
      </c>
      <c r="E39" s="26">
        <f t="shared" ca="1" si="6"/>
        <v>0</v>
      </c>
      <c r="F39" s="25">
        <f t="shared" ca="1" si="12"/>
        <v>120</v>
      </c>
      <c r="G39" s="12" t="s">
        <v>14</v>
      </c>
      <c r="H39" s="25">
        <v>120</v>
      </c>
      <c r="I39" s="12" t="str">
        <f t="shared" si="13"/>
        <v>Click It 3</v>
      </c>
      <c r="J39" s="12"/>
      <c r="K39" s="36">
        <v>12000927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5.4">
      <c r="A40" s="41"/>
      <c r="B40" s="38"/>
      <c r="C40" s="12" t="s">
        <v>44</v>
      </c>
      <c r="D40" s="25">
        <v>250.96</v>
      </c>
      <c r="E40" s="26">
        <f t="shared" ca="1" si="6"/>
        <v>0</v>
      </c>
      <c r="F40" s="25">
        <f t="shared" ca="1" si="12"/>
        <v>250.96</v>
      </c>
      <c r="G40" s="12" t="s">
        <v>14</v>
      </c>
      <c r="H40" s="25">
        <v>250.96</v>
      </c>
      <c r="I40" s="12" t="str">
        <f t="shared" si="13"/>
        <v>Poker Club</v>
      </c>
      <c r="J40" s="12"/>
      <c r="K40" s="36">
        <v>1201494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5.4">
      <c r="A41" s="40"/>
      <c r="B41" s="12"/>
      <c r="C41" s="12" t="s">
        <v>45</v>
      </c>
      <c r="D41" s="25">
        <v>31.97</v>
      </c>
      <c r="E41" s="26">
        <f t="shared" si="6"/>
        <v>-68.03</v>
      </c>
      <c r="F41" s="25">
        <v>100</v>
      </c>
      <c r="G41" s="12" t="s">
        <v>14</v>
      </c>
      <c r="H41" s="28">
        <f t="shared" ref="H41:H42" si="14">IF(G41="Approved",F41,0)</f>
        <v>100</v>
      </c>
      <c r="I41" s="12" t="str">
        <f t="shared" ref="I41:I42" si="15">C41</f>
        <v>Amnesty</v>
      </c>
      <c r="J41" s="12"/>
      <c r="K41" s="36">
        <v>1201507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5.4">
      <c r="A42" s="40"/>
      <c r="B42" s="12"/>
      <c r="C42" s="12" t="s">
        <v>46</v>
      </c>
      <c r="D42" s="25">
        <v>256.86</v>
      </c>
      <c r="E42" s="26">
        <f t="shared" si="6"/>
        <v>0</v>
      </c>
      <c r="F42" s="25">
        <v>256.86</v>
      </c>
      <c r="G42" s="12" t="s">
        <v>14</v>
      </c>
      <c r="H42" s="28">
        <f t="shared" si="14"/>
        <v>256.86</v>
      </c>
      <c r="I42" s="12" t="str">
        <f t="shared" si="15"/>
        <v>SDS 1</v>
      </c>
      <c r="J42" s="12"/>
      <c r="K42" s="36">
        <v>1200914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5.4">
      <c r="A43" s="40"/>
      <c r="B43" s="38"/>
      <c r="C43" s="12" t="s">
        <v>47</v>
      </c>
      <c r="D43" s="25">
        <v>3500</v>
      </c>
      <c r="E43" s="26">
        <f t="shared" si="6"/>
        <v>0</v>
      </c>
      <c r="F43" s="25">
        <v>3500</v>
      </c>
      <c r="G43" s="12" t="s">
        <v>14</v>
      </c>
      <c r="H43" s="28">
        <f t="shared" ref="H43:H45" si="16">IF(G43="Approved",F43,0)</f>
        <v>3500</v>
      </c>
      <c r="I43" s="12" t="str">
        <f t="shared" ref="I43:I45" si="17">C43</f>
        <v>SDS 2</v>
      </c>
      <c r="J43" s="12"/>
      <c r="K43" s="36">
        <v>1200914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.4">
      <c r="A44" s="40"/>
      <c r="B44" s="38"/>
      <c r="C44" s="12" t="s">
        <v>48</v>
      </c>
      <c r="D44" s="25">
        <v>3000</v>
      </c>
      <c r="E44" s="26">
        <f t="shared" si="6"/>
        <v>0</v>
      </c>
      <c r="F44" s="25">
        <v>3000</v>
      </c>
      <c r="G44" s="12" t="s">
        <v>14</v>
      </c>
      <c r="H44" s="28">
        <f t="shared" si="16"/>
        <v>3000</v>
      </c>
      <c r="I44" s="12" t="str">
        <f t="shared" si="17"/>
        <v>SDS 3</v>
      </c>
      <c r="J44" s="12"/>
      <c r="K44" s="36">
        <v>1200914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5.4">
      <c r="A45" s="40"/>
      <c r="B45" s="12"/>
      <c r="C45" s="12" t="s">
        <v>49</v>
      </c>
      <c r="D45" s="25">
        <v>189.09</v>
      </c>
      <c r="E45" s="26">
        <f t="shared" si="6"/>
        <v>0</v>
      </c>
      <c r="F45" s="25">
        <v>189.09</v>
      </c>
      <c r="G45" s="12" t="s">
        <v>14</v>
      </c>
      <c r="H45" s="28">
        <f t="shared" si="16"/>
        <v>189.09</v>
      </c>
      <c r="I45" s="12" t="str">
        <f t="shared" si="17"/>
        <v>SDS 4</v>
      </c>
      <c r="J45" s="12"/>
      <c r="K45" s="36">
        <v>1200914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5.4">
      <c r="A46" s="40"/>
      <c r="B46" s="12"/>
      <c r="C46" s="12" t="s">
        <v>50</v>
      </c>
      <c r="D46" s="25">
        <v>50</v>
      </c>
      <c r="E46" s="26">
        <f t="shared" si="6"/>
        <v>0</v>
      </c>
      <c r="F46" s="25">
        <v>50</v>
      </c>
      <c r="G46" s="12" t="s">
        <v>14</v>
      </c>
      <c r="H46" s="28">
        <f t="shared" ref="H46:H47" si="18">IF(G46="Approved",F46,0)</f>
        <v>50</v>
      </c>
      <c r="I46" s="12" t="str">
        <f t="shared" ref="I46:I47" si="19">C46</f>
        <v>Sikh</v>
      </c>
      <c r="J46" s="12"/>
      <c r="K46" s="36">
        <v>1200927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5.4">
      <c r="A47" s="40"/>
      <c r="B47" s="12"/>
      <c r="C47" s="12" t="s">
        <v>51</v>
      </c>
      <c r="D47" s="25">
        <v>72</v>
      </c>
      <c r="E47" s="26">
        <f t="shared" si="6"/>
        <v>0</v>
      </c>
      <c r="F47" s="25">
        <v>72</v>
      </c>
      <c r="G47" s="12" t="s">
        <v>14</v>
      </c>
      <c r="H47" s="28">
        <f t="shared" si="18"/>
        <v>72</v>
      </c>
      <c r="I47" s="12" t="str">
        <f t="shared" si="19"/>
        <v>ASCE</v>
      </c>
      <c r="J47" s="12"/>
      <c r="K47" s="36">
        <v>1201143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5.4">
      <c r="A48" s="40"/>
      <c r="B48" s="12"/>
      <c r="C48" s="12" t="s">
        <v>52</v>
      </c>
      <c r="D48" s="25">
        <v>64.13</v>
      </c>
      <c r="E48" s="26">
        <f t="shared" si="6"/>
        <v>-35.870000000000005</v>
      </c>
      <c r="F48" s="25">
        <v>100</v>
      </c>
      <c r="G48" s="12" t="s">
        <v>14</v>
      </c>
      <c r="H48" s="28">
        <f t="shared" ref="H48:H51" si="20">IF(G48="Approved",F48,0)</f>
        <v>100</v>
      </c>
      <c r="I48" s="12" t="str">
        <f t="shared" ref="I48:I51" si="21">C48</f>
        <v>SEC</v>
      </c>
      <c r="J48" s="12"/>
      <c r="K48" s="36">
        <v>1201515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5.4">
      <c r="A49" s="40"/>
      <c r="B49" s="12"/>
      <c r="C49" s="12" t="s">
        <v>53</v>
      </c>
      <c r="D49" s="25">
        <v>100</v>
      </c>
      <c r="E49" s="26">
        <f t="shared" si="6"/>
        <v>0</v>
      </c>
      <c r="F49" s="25">
        <v>100</v>
      </c>
      <c r="G49" s="12" t="s">
        <v>14</v>
      </c>
      <c r="H49" s="28">
        <f t="shared" si="20"/>
        <v>100</v>
      </c>
      <c r="I49" s="12" t="str">
        <f t="shared" si="21"/>
        <v>Stevens Undergraduate Research Consortium</v>
      </c>
      <c r="J49" s="12"/>
      <c r="K49" s="36">
        <v>1200972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5.4">
      <c r="A50" s="40"/>
      <c r="B50" s="12"/>
      <c r="C50" s="12" t="s">
        <v>54</v>
      </c>
      <c r="D50" s="25">
        <v>395.55</v>
      </c>
      <c r="E50" s="26">
        <f t="shared" si="6"/>
        <v>-21.849999999999966</v>
      </c>
      <c r="F50" s="25">
        <v>417.4</v>
      </c>
      <c r="G50" s="12" t="s">
        <v>14</v>
      </c>
      <c r="H50" s="28">
        <f t="shared" si="20"/>
        <v>417.4</v>
      </c>
      <c r="I50" s="12" t="str">
        <f t="shared" si="21"/>
        <v>KSA</v>
      </c>
      <c r="J50" s="12"/>
      <c r="K50" s="36">
        <v>1201133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5.4">
      <c r="A51" s="40"/>
      <c r="B51" s="12"/>
      <c r="C51" s="12" t="s">
        <v>55</v>
      </c>
      <c r="D51" s="25">
        <v>120</v>
      </c>
      <c r="E51" s="26">
        <f t="shared" si="6"/>
        <v>0</v>
      </c>
      <c r="F51" s="25">
        <v>120</v>
      </c>
      <c r="G51" s="12" t="s">
        <v>14</v>
      </c>
      <c r="H51" s="28">
        <f t="shared" si="20"/>
        <v>120</v>
      </c>
      <c r="I51" s="12" t="str">
        <f t="shared" si="21"/>
        <v>OStem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5.4">
      <c r="A52" s="40"/>
      <c r="B52" s="38"/>
      <c r="C52" s="12" t="s">
        <v>56</v>
      </c>
      <c r="D52" s="25">
        <v>3000</v>
      </c>
      <c r="E52" s="26">
        <f t="shared" si="6"/>
        <v>0</v>
      </c>
      <c r="F52" s="25">
        <v>3000</v>
      </c>
      <c r="G52" s="12" t="s">
        <v>14</v>
      </c>
      <c r="H52" s="28">
        <f t="shared" ref="H52:H53" si="22">IF(G52="Approved",F52,0)</f>
        <v>3000</v>
      </c>
      <c r="I52" s="12" t="str">
        <f t="shared" ref="I52:I53" si="23">C52</f>
        <v>SASE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.4">
      <c r="A53" s="40"/>
      <c r="B53" s="38"/>
      <c r="C53" s="12" t="s">
        <v>15</v>
      </c>
      <c r="D53" s="25">
        <v>189.09</v>
      </c>
      <c r="E53" s="26">
        <f t="shared" si="6"/>
        <v>0</v>
      </c>
      <c r="F53" s="25">
        <v>189.09</v>
      </c>
      <c r="G53" s="12" t="s">
        <v>14</v>
      </c>
      <c r="H53" s="28">
        <f t="shared" si="22"/>
        <v>189.09</v>
      </c>
      <c r="I53" s="12" t="str">
        <f t="shared" si="23"/>
        <v>SDS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.4">
      <c r="A54" s="40"/>
      <c r="B54" s="29"/>
      <c r="C54" s="29"/>
      <c r="D54" s="29"/>
      <c r="E54" s="29"/>
      <c r="F54" s="29"/>
      <c r="G54" s="29"/>
      <c r="H54" s="30">
        <f>SUM(H18:H53)</f>
        <v>18160.079999999998</v>
      </c>
      <c r="I54" s="29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.4">
      <c r="A55" s="40"/>
      <c r="B55" s="23"/>
      <c r="C55" s="23"/>
      <c r="D55" s="23"/>
      <c r="E55" s="23"/>
      <c r="F55" s="23"/>
      <c r="G55" s="23"/>
      <c r="H55" s="42"/>
      <c r="I55" s="24">
        <f>I17-H54</f>
        <v>168142.82000000004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5.4">
      <c r="A56" s="40"/>
      <c r="B56" s="12"/>
      <c r="C56" s="12" t="s">
        <v>30</v>
      </c>
      <c r="D56" s="25">
        <v>520.44000000000005</v>
      </c>
      <c r="E56" s="26">
        <f t="shared" ref="E56:E66" ca="1" si="24">D56-F56</f>
        <v>0</v>
      </c>
      <c r="F56" s="25">
        <f ca="1">E56-G56</f>
        <v>0</v>
      </c>
      <c r="G56" s="12" t="s">
        <v>57</v>
      </c>
      <c r="H56" s="25">
        <f t="shared" ref="H56:H68" si="25">IF(G56="Approved",F56,0)</f>
        <v>0</v>
      </c>
      <c r="I56" s="12" t="str">
        <f t="shared" ref="I56:I66" si="26">C56</f>
        <v>ASME</v>
      </c>
      <c r="J56" s="12"/>
      <c r="K56" s="12">
        <v>1201139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.4">
      <c r="A57" s="40"/>
      <c r="B57" s="12"/>
      <c r="C57" s="12" t="s">
        <v>58</v>
      </c>
      <c r="D57" s="25">
        <v>1500</v>
      </c>
      <c r="E57" s="26">
        <f t="shared" si="24"/>
        <v>0</v>
      </c>
      <c r="F57" s="25">
        <v>1500</v>
      </c>
      <c r="G57" s="12" t="s">
        <v>57</v>
      </c>
      <c r="H57" s="25">
        <f t="shared" si="25"/>
        <v>0</v>
      </c>
      <c r="I57" s="12" t="str">
        <f t="shared" si="26"/>
        <v>AiChe</v>
      </c>
      <c r="J57" s="12"/>
      <c r="K57" s="36">
        <v>1201111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5.4">
      <c r="A58" s="40"/>
      <c r="B58" s="12"/>
      <c r="C58" s="12" t="s">
        <v>59</v>
      </c>
      <c r="D58" s="25">
        <v>225</v>
      </c>
      <c r="E58" s="26">
        <f t="shared" si="24"/>
        <v>0</v>
      </c>
      <c r="F58" s="25">
        <v>225</v>
      </c>
      <c r="G58" s="12" t="s">
        <v>57</v>
      </c>
      <c r="H58" s="25">
        <f t="shared" si="25"/>
        <v>0</v>
      </c>
      <c r="I58" s="12" t="str">
        <f t="shared" si="26"/>
        <v>StevensTHON</v>
      </c>
      <c r="J58" s="12"/>
      <c r="K58" s="36" t="s">
        <v>60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5.4">
      <c r="A59" s="40"/>
      <c r="B59" s="12"/>
      <c r="C59" s="12" t="s">
        <v>61</v>
      </c>
      <c r="D59" s="25">
        <v>105.27</v>
      </c>
      <c r="E59" s="26">
        <f t="shared" si="24"/>
        <v>0</v>
      </c>
      <c r="F59" s="25">
        <v>105.27</v>
      </c>
      <c r="G59" s="12" t="s">
        <v>14</v>
      </c>
      <c r="H59" s="25">
        <f t="shared" si="25"/>
        <v>105.27</v>
      </c>
      <c r="I59" s="12" t="str">
        <f t="shared" si="26"/>
        <v>FBLA</v>
      </c>
      <c r="J59" s="12"/>
      <c r="K59" s="36">
        <v>1200927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.4">
      <c r="A60" s="40"/>
      <c r="B60" s="12"/>
      <c r="C60" s="12" t="s">
        <v>62</v>
      </c>
      <c r="D60" s="25">
        <v>36.97</v>
      </c>
      <c r="E60" s="26">
        <f t="shared" si="24"/>
        <v>0</v>
      </c>
      <c r="F60" s="25">
        <v>36.97</v>
      </c>
      <c r="G60" s="12" t="s">
        <v>14</v>
      </c>
      <c r="H60" s="25">
        <f t="shared" si="25"/>
        <v>36.97</v>
      </c>
      <c r="I60" s="12" t="str">
        <f t="shared" si="26"/>
        <v>WCPR</v>
      </c>
      <c r="J60" s="12"/>
      <c r="K60" s="36">
        <v>1200979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.4">
      <c r="A61" s="40"/>
      <c r="B61" s="12"/>
      <c r="C61" s="12" t="s">
        <v>32</v>
      </c>
      <c r="D61" s="25">
        <v>1.69</v>
      </c>
      <c r="E61" s="26">
        <f t="shared" si="24"/>
        <v>0</v>
      </c>
      <c r="F61" s="25">
        <v>1.69</v>
      </c>
      <c r="G61" s="12" t="s">
        <v>14</v>
      </c>
      <c r="H61" s="25">
        <f t="shared" si="25"/>
        <v>1.69</v>
      </c>
      <c r="I61" s="12" t="str">
        <f t="shared" si="26"/>
        <v>Stevens Signs</v>
      </c>
      <c r="J61" s="12"/>
      <c r="K61" s="36" t="s">
        <v>63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.4">
      <c r="A62" s="40"/>
      <c r="B62" s="12"/>
      <c r="C62" s="12" t="s">
        <v>54</v>
      </c>
      <c r="D62" s="25">
        <v>120</v>
      </c>
      <c r="E62" s="26">
        <f t="shared" si="24"/>
        <v>0</v>
      </c>
      <c r="F62" s="25">
        <v>120</v>
      </c>
      <c r="G62" s="12" t="s">
        <v>14</v>
      </c>
      <c r="H62" s="25">
        <f t="shared" si="25"/>
        <v>120</v>
      </c>
      <c r="I62" s="12" t="str">
        <f t="shared" si="26"/>
        <v>KSA</v>
      </c>
      <c r="J62" s="12"/>
      <c r="K62" s="36">
        <v>1201133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.4">
      <c r="A63" s="40"/>
      <c r="B63" s="12"/>
      <c r="C63" s="12" t="s">
        <v>31</v>
      </c>
      <c r="D63" s="25">
        <v>229.28</v>
      </c>
      <c r="E63" s="26">
        <f t="shared" si="24"/>
        <v>0</v>
      </c>
      <c r="F63" s="25">
        <v>229.28</v>
      </c>
      <c r="G63" s="12" t="s">
        <v>14</v>
      </c>
      <c r="H63" s="25">
        <f t="shared" si="25"/>
        <v>229.28</v>
      </c>
      <c r="I63" s="12" t="str">
        <f t="shared" si="26"/>
        <v>MSA</v>
      </c>
      <c r="J63" s="12"/>
      <c r="K63" s="36">
        <v>1201453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5.4">
      <c r="A64" s="40"/>
      <c r="B64" s="12"/>
      <c r="C64" s="12" t="s">
        <v>64</v>
      </c>
      <c r="D64" s="25">
        <v>214.5</v>
      </c>
      <c r="E64" s="26">
        <f t="shared" si="24"/>
        <v>0</v>
      </c>
      <c r="F64" s="25">
        <v>214.5</v>
      </c>
      <c r="G64" s="12" t="s">
        <v>14</v>
      </c>
      <c r="H64" s="28">
        <f t="shared" si="25"/>
        <v>214.5</v>
      </c>
      <c r="I64" s="12" t="str">
        <f t="shared" si="26"/>
        <v>Badmittion</v>
      </c>
      <c r="J64" s="12"/>
      <c r="K64" s="36">
        <v>1201388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.4">
      <c r="A65" s="40"/>
      <c r="B65" s="12"/>
      <c r="C65" s="12" t="s">
        <v>65</v>
      </c>
      <c r="D65" s="25">
        <v>1500</v>
      </c>
      <c r="E65" s="26">
        <f t="shared" si="24"/>
        <v>0</v>
      </c>
      <c r="F65" s="25">
        <v>1500</v>
      </c>
      <c r="G65" s="12" t="s">
        <v>14</v>
      </c>
      <c r="H65" s="28">
        <f t="shared" si="25"/>
        <v>1500</v>
      </c>
      <c r="I65" s="12" t="str">
        <f t="shared" si="26"/>
        <v xml:space="preserve">Naval </v>
      </c>
      <c r="J65" s="12"/>
      <c r="K65" s="36">
        <v>1201132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5.4">
      <c r="A66" s="40"/>
      <c r="B66" s="12"/>
      <c r="C66" s="12" t="s">
        <v>66</v>
      </c>
      <c r="D66" s="25">
        <v>14</v>
      </c>
      <c r="E66" s="26">
        <f t="shared" si="24"/>
        <v>-1</v>
      </c>
      <c r="F66" s="25">
        <v>15</v>
      </c>
      <c r="G66" s="12" t="s">
        <v>14</v>
      </c>
      <c r="H66" s="28">
        <f>IF(G66="Approved",F66,0)</f>
        <v>15</v>
      </c>
      <c r="I66" s="12" t="str">
        <f t="shared" si="26"/>
        <v>Chess Club</v>
      </c>
      <c r="J66" s="12"/>
      <c r="K66" s="36">
        <v>1200924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5.4">
      <c r="A67" s="40"/>
      <c r="B67" s="12"/>
      <c r="C67" s="12" t="s">
        <v>40</v>
      </c>
      <c r="D67" s="25">
        <v>115</v>
      </c>
      <c r="E67" s="25">
        <f>D67-F67</f>
        <v>-25</v>
      </c>
      <c r="F67" s="25">
        <v>140</v>
      </c>
      <c r="G67" s="12" t="s">
        <v>14</v>
      </c>
      <c r="H67" s="28">
        <f t="shared" si="25"/>
        <v>140</v>
      </c>
      <c r="I67" s="12" t="str">
        <f t="shared" ref="I67:I72" si="27">C67</f>
        <v>Mock Trial</v>
      </c>
      <c r="J67" s="12"/>
      <c r="K67" s="36">
        <v>1200927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5.4">
      <c r="A68" s="40"/>
      <c r="B68" s="12"/>
      <c r="C68" s="12" t="s">
        <v>45</v>
      </c>
      <c r="D68" s="25">
        <v>179</v>
      </c>
      <c r="E68" s="26">
        <f>D68-F68</f>
        <v>0</v>
      </c>
      <c r="F68" s="25">
        <v>179</v>
      </c>
      <c r="G68" s="12" t="s">
        <v>14</v>
      </c>
      <c r="H68" s="28">
        <f t="shared" si="25"/>
        <v>179</v>
      </c>
      <c r="I68" s="12" t="str">
        <f t="shared" si="27"/>
        <v>Amnesty</v>
      </c>
      <c r="J68" s="12"/>
      <c r="K68" s="36" t="s">
        <v>67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.4">
      <c r="A69" s="40"/>
      <c r="B69" s="12"/>
      <c r="C69" s="12" t="s">
        <v>34</v>
      </c>
      <c r="D69" s="25">
        <v>55</v>
      </c>
      <c r="E69" s="26">
        <f t="shared" ref="E69:E91" si="28">D69-F69</f>
        <v>0</v>
      </c>
      <c r="F69" s="25">
        <v>55</v>
      </c>
      <c r="G69" s="12" t="s">
        <v>14</v>
      </c>
      <c r="H69" s="28">
        <f t="shared" ref="H69:H72" si="29">IF(G69="Approved",F69,0)</f>
        <v>55</v>
      </c>
      <c r="I69" s="12" t="str">
        <f t="shared" si="27"/>
        <v>Jazba</v>
      </c>
      <c r="J69" s="12"/>
      <c r="K69" s="36">
        <v>1200927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.4">
      <c r="A70" s="40"/>
      <c r="B70" s="12"/>
      <c r="C70" s="22" t="s">
        <v>68</v>
      </c>
      <c r="D70" s="25">
        <v>100</v>
      </c>
      <c r="E70" s="26">
        <f t="shared" si="28"/>
        <v>0</v>
      </c>
      <c r="F70" s="25">
        <v>100</v>
      </c>
      <c r="G70" s="12" t="s">
        <v>14</v>
      </c>
      <c r="H70" s="28">
        <f t="shared" si="29"/>
        <v>100</v>
      </c>
      <c r="I70" s="12" t="str">
        <f t="shared" si="27"/>
        <v>Poetry Club</v>
      </c>
      <c r="J70" s="12"/>
      <c r="K70" s="36">
        <v>1201501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.4">
      <c r="A71" s="40"/>
      <c r="B71" s="12"/>
      <c r="C71" s="12" t="s">
        <v>69</v>
      </c>
      <c r="D71" s="25">
        <v>225.68</v>
      </c>
      <c r="E71" s="26">
        <f t="shared" si="28"/>
        <v>0</v>
      </c>
      <c r="F71" s="25">
        <v>225.68</v>
      </c>
      <c r="G71" s="12" t="s">
        <v>14</v>
      </c>
      <c r="H71" s="28">
        <f t="shared" si="29"/>
        <v>225.68</v>
      </c>
      <c r="I71" s="12" t="str">
        <f t="shared" si="27"/>
        <v>The Stute 1</v>
      </c>
      <c r="J71" s="12"/>
      <c r="K71" s="36" t="s">
        <v>70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5.4">
      <c r="A72" s="40"/>
      <c r="B72" s="12"/>
      <c r="C72" s="12" t="s">
        <v>71</v>
      </c>
      <c r="D72" s="25">
        <v>290.86</v>
      </c>
      <c r="E72" s="26">
        <f t="shared" si="28"/>
        <v>0</v>
      </c>
      <c r="F72" s="25">
        <v>290.86</v>
      </c>
      <c r="G72" s="12" t="s">
        <v>14</v>
      </c>
      <c r="H72" s="28">
        <f t="shared" si="29"/>
        <v>290.86</v>
      </c>
      <c r="I72" s="12" t="str">
        <f t="shared" si="27"/>
        <v>The Stute 2</v>
      </c>
      <c r="J72" s="12"/>
      <c r="K72" s="36" t="s">
        <v>70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.4">
      <c r="A73" s="40"/>
      <c r="B73" s="12"/>
      <c r="C73" s="12" t="s">
        <v>72</v>
      </c>
      <c r="D73" s="25">
        <v>145.5</v>
      </c>
      <c r="E73" s="26">
        <f t="shared" si="28"/>
        <v>0</v>
      </c>
      <c r="F73" s="25">
        <v>145.5</v>
      </c>
      <c r="G73" s="12" t="s">
        <v>14</v>
      </c>
      <c r="H73" s="28">
        <f t="shared" ref="H73:H81" si="30">IF(G73="Approved",F73,0)</f>
        <v>145.5</v>
      </c>
      <c r="I73" s="12" t="str">
        <f t="shared" ref="I73:I81" si="31">C73</f>
        <v>Stevens Entrepreneurship Society 1</v>
      </c>
      <c r="J73" s="12"/>
      <c r="K73" s="36">
        <v>1200927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5.4">
      <c r="A74" s="40"/>
      <c r="B74" s="12"/>
      <c r="C74" s="12" t="s">
        <v>73</v>
      </c>
      <c r="D74" s="25">
        <v>75.25</v>
      </c>
      <c r="E74" s="26">
        <f t="shared" si="28"/>
        <v>0</v>
      </c>
      <c r="F74" s="25">
        <v>75.25</v>
      </c>
      <c r="G74" s="12" t="s">
        <v>14</v>
      </c>
      <c r="H74" s="28">
        <f t="shared" si="30"/>
        <v>75.25</v>
      </c>
      <c r="I74" s="12" t="str">
        <f t="shared" si="31"/>
        <v>Stevens Entrepreneurship Society 2</v>
      </c>
      <c r="J74" s="12"/>
      <c r="K74" s="36">
        <v>1200927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.4">
      <c r="A75" s="40"/>
      <c r="B75" s="12"/>
      <c r="C75" s="12" t="s">
        <v>74</v>
      </c>
      <c r="D75" s="25">
        <v>2000</v>
      </c>
      <c r="E75" s="26">
        <f t="shared" si="28"/>
        <v>0</v>
      </c>
      <c r="F75" s="25">
        <v>2000</v>
      </c>
      <c r="G75" s="12" t="s">
        <v>14</v>
      </c>
      <c r="H75" s="28">
        <f t="shared" si="30"/>
        <v>2000</v>
      </c>
      <c r="I75" s="12" t="str">
        <f t="shared" si="31"/>
        <v>FIBA</v>
      </c>
      <c r="J75" s="12"/>
      <c r="K75" s="12"/>
      <c r="L75" s="12"/>
      <c r="M75" s="12"/>
      <c r="V75" s="12"/>
      <c r="W75" s="12"/>
      <c r="X75" s="12"/>
      <c r="Y75" s="12"/>
      <c r="Z75" s="12"/>
      <c r="AA75" s="12"/>
    </row>
    <row r="76" spans="1:27" ht="15.4">
      <c r="A76" s="40"/>
      <c r="B76" s="12"/>
      <c r="C76" s="12" t="s">
        <v>75</v>
      </c>
      <c r="D76" s="25">
        <v>221.26</v>
      </c>
      <c r="E76" s="26">
        <f t="shared" si="28"/>
        <v>0</v>
      </c>
      <c r="F76" s="25">
        <v>221.26</v>
      </c>
      <c r="G76" s="12" t="s">
        <v>57</v>
      </c>
      <c r="H76" s="28">
        <f t="shared" si="30"/>
        <v>0</v>
      </c>
      <c r="I76" s="12" t="str">
        <f t="shared" si="31"/>
        <v>Stevens Christian Fellowship</v>
      </c>
      <c r="J76" s="12"/>
      <c r="K76" s="36">
        <v>1201169</v>
      </c>
      <c r="L76" s="12"/>
      <c r="M76" s="12"/>
      <c r="V76" s="12"/>
      <c r="W76" s="12"/>
      <c r="X76" s="12"/>
      <c r="Y76" s="12"/>
      <c r="Z76" s="12"/>
      <c r="AA76" s="12"/>
    </row>
    <row r="77" spans="1:27" ht="15.4">
      <c r="A77" s="40"/>
      <c r="B77" s="12"/>
      <c r="C77" s="12" t="s">
        <v>19</v>
      </c>
      <c r="D77" s="25">
        <v>80.78</v>
      </c>
      <c r="E77" s="26">
        <f t="shared" si="28"/>
        <v>-19.22</v>
      </c>
      <c r="F77" s="25">
        <v>100</v>
      </c>
      <c r="G77" s="12" t="s">
        <v>14</v>
      </c>
      <c r="H77" s="28">
        <f t="shared" si="30"/>
        <v>100</v>
      </c>
      <c r="I77" s="12" t="str">
        <f t="shared" si="31"/>
        <v>SHPE</v>
      </c>
      <c r="J77" s="12"/>
      <c r="K77" s="36">
        <v>1200933</v>
      </c>
      <c r="L77" s="12"/>
      <c r="M77" s="12"/>
      <c r="V77" s="12"/>
      <c r="W77" s="12"/>
      <c r="X77" s="12"/>
      <c r="Y77" s="12"/>
      <c r="Z77" s="12"/>
      <c r="AA77" s="12"/>
    </row>
    <row r="78" spans="1:27" ht="15.4">
      <c r="A78" s="40"/>
      <c r="B78" s="12"/>
      <c r="C78" s="12" t="s">
        <v>76</v>
      </c>
      <c r="D78" s="25">
        <v>90</v>
      </c>
      <c r="E78" s="26">
        <f t="shared" ca="1" si="28"/>
        <v>90</v>
      </c>
      <c r="F78" s="26">
        <f ca="1">E78-G78</f>
        <v>0</v>
      </c>
      <c r="G78" s="12" t="s">
        <v>57</v>
      </c>
      <c r="H78" s="28">
        <f t="shared" si="30"/>
        <v>0</v>
      </c>
      <c r="I78" s="12" t="str">
        <f t="shared" si="31"/>
        <v>Technique 1</v>
      </c>
      <c r="J78" s="12"/>
      <c r="K78" s="36" t="s">
        <v>77</v>
      </c>
      <c r="L78" s="12"/>
      <c r="M78" s="12"/>
      <c r="V78" s="12"/>
      <c r="W78" s="12"/>
      <c r="X78" s="12"/>
      <c r="Y78" s="12"/>
      <c r="Z78" s="12"/>
      <c r="AA78" s="12"/>
    </row>
    <row r="79" spans="1:27" ht="15.4">
      <c r="A79" s="40"/>
      <c r="B79" s="12"/>
      <c r="C79" s="12" t="s">
        <v>78</v>
      </c>
      <c r="D79" s="25">
        <v>350</v>
      </c>
      <c r="E79" s="26">
        <f t="shared" ca="1" si="28"/>
        <v>350</v>
      </c>
      <c r="F79" s="26">
        <f ca="1">E79-G79</f>
        <v>0</v>
      </c>
      <c r="G79" s="12" t="s">
        <v>57</v>
      </c>
      <c r="H79" s="28">
        <f t="shared" si="30"/>
        <v>0</v>
      </c>
      <c r="I79" s="12" t="str">
        <f t="shared" si="31"/>
        <v>Technique 2</v>
      </c>
      <c r="J79" s="12"/>
      <c r="K79" s="12"/>
      <c r="L79" s="12"/>
      <c r="M79" s="12"/>
      <c r="V79" s="12"/>
      <c r="W79" s="12"/>
      <c r="X79" s="12"/>
      <c r="Y79" s="12"/>
      <c r="Z79" s="12"/>
      <c r="AA79" s="12"/>
    </row>
    <row r="80" spans="1:27" ht="15.4">
      <c r="A80" s="40"/>
      <c r="B80" s="12"/>
      <c r="C80" s="12" t="s">
        <v>79</v>
      </c>
      <c r="D80" s="25">
        <v>897.6</v>
      </c>
      <c r="E80" s="26">
        <f t="shared" si="28"/>
        <v>222</v>
      </c>
      <c r="F80" s="25">
        <v>675.6</v>
      </c>
      <c r="G80" s="12" t="s">
        <v>14</v>
      </c>
      <c r="H80" s="28">
        <f t="shared" si="30"/>
        <v>675.6</v>
      </c>
      <c r="I80" s="12" t="str">
        <f t="shared" si="31"/>
        <v>BMES</v>
      </c>
      <c r="J80" s="12"/>
      <c r="K80" s="37" t="s">
        <v>80</v>
      </c>
      <c r="L80" s="12"/>
      <c r="M80" s="12"/>
      <c r="V80" s="12"/>
      <c r="W80" s="12"/>
      <c r="X80" s="12"/>
      <c r="Y80" s="12"/>
      <c r="Z80" s="12"/>
      <c r="AA80" s="12"/>
    </row>
    <row r="81" spans="1:27" ht="15.4">
      <c r="A81" s="40"/>
      <c r="B81" s="12"/>
      <c r="C81" s="12" t="s">
        <v>46</v>
      </c>
      <c r="D81" s="25">
        <v>300</v>
      </c>
      <c r="E81" s="26">
        <f t="shared" si="28"/>
        <v>0</v>
      </c>
      <c r="F81" s="25">
        <v>300</v>
      </c>
      <c r="G81" s="12" t="s">
        <v>14</v>
      </c>
      <c r="H81" s="28">
        <f t="shared" si="30"/>
        <v>300</v>
      </c>
      <c r="I81" s="12" t="str">
        <f t="shared" si="31"/>
        <v>SDS 1</v>
      </c>
      <c r="J81" s="12"/>
      <c r="K81" s="36">
        <v>1200914</v>
      </c>
      <c r="L81" s="12"/>
      <c r="M81" s="12"/>
      <c r="V81" s="12"/>
      <c r="W81" s="12"/>
      <c r="X81" s="12"/>
      <c r="Y81" s="12"/>
      <c r="Z81" s="12"/>
      <c r="AA81" s="12"/>
    </row>
    <row r="82" spans="1:27" ht="15.4">
      <c r="A82" s="40"/>
      <c r="B82" s="12"/>
      <c r="C82" s="12" t="s">
        <v>47</v>
      </c>
      <c r="D82" s="25">
        <v>1700</v>
      </c>
      <c r="E82" s="26">
        <f t="shared" si="28"/>
        <v>1700</v>
      </c>
      <c r="F82" s="25">
        <v>0</v>
      </c>
      <c r="G82" s="12" t="s">
        <v>57</v>
      </c>
      <c r="H82" s="28">
        <f t="shared" ref="H82:H86" si="32">IF(G82="Approved",F82,0)</f>
        <v>0</v>
      </c>
      <c r="I82" s="12" t="str">
        <f t="shared" ref="I82:I86" si="33">C82</f>
        <v>SDS 2</v>
      </c>
      <c r="J82" s="12"/>
      <c r="K82" s="36">
        <v>1200914</v>
      </c>
      <c r="L82" s="12"/>
      <c r="M82" s="12"/>
      <c r="V82" s="12"/>
      <c r="W82" s="12"/>
      <c r="X82" s="12"/>
      <c r="Y82" s="12"/>
      <c r="Z82" s="12"/>
      <c r="AA82" s="12"/>
    </row>
    <row r="83" spans="1:27" ht="15.4">
      <c r="A83" s="40"/>
      <c r="B83" s="12"/>
      <c r="C83" s="12" t="s">
        <v>81</v>
      </c>
      <c r="D83" s="25">
        <v>1200</v>
      </c>
      <c r="E83" s="26">
        <f t="shared" si="28"/>
        <v>0</v>
      </c>
      <c r="F83" s="25">
        <v>1200</v>
      </c>
      <c r="G83" s="12" t="s">
        <v>57</v>
      </c>
      <c r="H83" s="28">
        <f t="shared" si="32"/>
        <v>0</v>
      </c>
      <c r="I83" s="12" t="str">
        <f t="shared" si="33"/>
        <v>NSBE</v>
      </c>
      <c r="J83" s="12"/>
      <c r="K83" s="36">
        <v>1201148</v>
      </c>
      <c r="L83" s="12"/>
      <c r="M83" s="12"/>
      <c r="V83" s="12"/>
      <c r="W83" s="12"/>
      <c r="X83" s="12"/>
      <c r="Y83" s="12"/>
      <c r="Z83" s="12"/>
      <c r="AA83" s="12"/>
    </row>
    <row r="84" spans="1:27" ht="15.4">
      <c r="A84" s="40"/>
      <c r="B84" s="12"/>
      <c r="C84" s="12" t="s">
        <v>82</v>
      </c>
      <c r="D84" s="25">
        <v>130</v>
      </c>
      <c r="E84" s="26">
        <f t="shared" si="28"/>
        <v>0</v>
      </c>
      <c r="F84" s="25">
        <v>130</v>
      </c>
      <c r="G84" s="12" t="s">
        <v>14</v>
      </c>
      <c r="H84" s="28">
        <f t="shared" si="32"/>
        <v>130</v>
      </c>
      <c r="I84" s="12" t="str">
        <f t="shared" si="33"/>
        <v>ALPFA</v>
      </c>
      <c r="J84" s="12"/>
      <c r="K84" s="36" t="s">
        <v>83</v>
      </c>
      <c r="L84" s="12"/>
      <c r="M84" s="12"/>
      <c r="V84" s="12"/>
      <c r="W84" s="12"/>
      <c r="X84" s="12"/>
      <c r="Y84" s="12"/>
      <c r="Z84" s="12"/>
      <c r="AA84" s="12"/>
    </row>
    <row r="85" spans="1:27" ht="15.4">
      <c r="A85" s="40"/>
      <c r="B85" s="12"/>
      <c r="C85" s="12" t="s">
        <v>84</v>
      </c>
      <c r="D85" s="25">
        <v>99</v>
      </c>
      <c r="E85" s="26">
        <f t="shared" si="28"/>
        <v>-1</v>
      </c>
      <c r="F85" s="25">
        <v>100</v>
      </c>
      <c r="G85" s="12" t="s">
        <v>14</v>
      </c>
      <c r="H85" s="28">
        <f t="shared" si="32"/>
        <v>100</v>
      </c>
      <c r="I85" s="12" t="str">
        <f t="shared" si="33"/>
        <v>SUMAC</v>
      </c>
      <c r="J85" s="12"/>
      <c r="K85" s="36">
        <v>1200919</v>
      </c>
      <c r="L85" s="12"/>
      <c r="M85" s="12"/>
      <c r="V85" s="12"/>
      <c r="W85" s="12"/>
      <c r="X85" s="12"/>
      <c r="Y85" s="12"/>
      <c r="Z85" s="12"/>
      <c r="AA85" s="12"/>
    </row>
    <row r="86" spans="1:27" ht="15.4">
      <c r="A86" s="40"/>
      <c r="B86" s="12"/>
      <c r="C86" s="12" t="s">
        <v>85</v>
      </c>
      <c r="D86" s="25">
        <v>450</v>
      </c>
      <c r="E86" s="26">
        <f t="shared" si="28"/>
        <v>0</v>
      </c>
      <c r="F86" s="25">
        <v>450</v>
      </c>
      <c r="G86" s="12" t="s">
        <v>57</v>
      </c>
      <c r="H86" s="28">
        <f t="shared" si="32"/>
        <v>0</v>
      </c>
      <c r="I86" s="12" t="str">
        <f t="shared" si="33"/>
        <v>Sky Mediation</v>
      </c>
      <c r="J86" s="12"/>
      <c r="K86" s="36"/>
      <c r="L86" s="12"/>
      <c r="M86" s="12"/>
      <c r="V86" s="12"/>
      <c r="W86" s="12"/>
      <c r="X86" s="12"/>
      <c r="Y86" s="12"/>
      <c r="Z86" s="12"/>
      <c r="AA86" s="12"/>
    </row>
    <row r="87" spans="1:27" ht="15.4">
      <c r="A87" s="40"/>
      <c r="B87" s="12"/>
      <c r="C87" s="12" t="s">
        <v>17</v>
      </c>
      <c r="D87" s="25">
        <v>371.06</v>
      </c>
      <c r="E87" s="26">
        <f t="shared" si="28"/>
        <v>0</v>
      </c>
      <c r="F87" s="25">
        <v>371.06</v>
      </c>
      <c r="G87" s="12" t="s">
        <v>14</v>
      </c>
      <c r="H87" s="28">
        <f t="shared" ref="H87:H90" si="34">IF(G87="Approved",F87,0)</f>
        <v>371.06</v>
      </c>
      <c r="I87" s="12" t="str">
        <f t="shared" ref="I87:I90" si="35">C87</f>
        <v>CSU</v>
      </c>
      <c r="J87" s="12"/>
      <c r="K87" s="36"/>
      <c r="L87" s="12"/>
      <c r="M87" s="12"/>
      <c r="V87" s="12"/>
      <c r="W87" s="12"/>
      <c r="X87" s="12"/>
      <c r="Y87" s="12"/>
      <c r="Z87" s="12"/>
      <c r="AA87" s="12"/>
    </row>
    <row r="88" spans="1:27" ht="15.4">
      <c r="A88" s="40"/>
      <c r="B88" s="12"/>
      <c r="C88" s="12" t="s">
        <v>86</v>
      </c>
      <c r="D88" s="25">
        <v>248.73</v>
      </c>
      <c r="E88" s="26">
        <f t="shared" si="28"/>
        <v>0</v>
      </c>
      <c r="F88" s="25">
        <v>248.73</v>
      </c>
      <c r="G88" s="12" t="s">
        <v>14</v>
      </c>
      <c r="H88" s="28">
        <f t="shared" si="34"/>
        <v>248.73</v>
      </c>
      <c r="I88" s="12" t="str">
        <f t="shared" si="35"/>
        <v>Stevens Esports 1</v>
      </c>
      <c r="J88" s="12"/>
      <c r="K88" s="36" t="s">
        <v>87</v>
      </c>
      <c r="L88" s="12"/>
      <c r="M88" s="12"/>
      <c r="V88" s="12"/>
      <c r="W88" s="12"/>
      <c r="X88" s="12"/>
      <c r="Y88" s="12"/>
      <c r="Z88" s="12"/>
      <c r="AA88" s="12"/>
    </row>
    <row r="89" spans="1:27" ht="15.4">
      <c r="A89" s="40"/>
      <c r="B89" s="12"/>
      <c r="C89" s="12" t="s">
        <v>88</v>
      </c>
      <c r="D89" s="25">
        <v>272</v>
      </c>
      <c r="E89" s="26">
        <f t="shared" si="28"/>
        <v>0</v>
      </c>
      <c r="F89" s="25">
        <v>272</v>
      </c>
      <c r="G89" s="12" t="s">
        <v>14</v>
      </c>
      <c r="H89" s="28">
        <f t="shared" si="34"/>
        <v>272</v>
      </c>
      <c r="I89" s="12" t="str">
        <f t="shared" si="35"/>
        <v>Stevens Esports 2</v>
      </c>
      <c r="J89" s="12"/>
      <c r="K89" s="36" t="s">
        <v>87</v>
      </c>
      <c r="L89" s="12"/>
      <c r="M89" s="12"/>
      <c r="V89" s="12"/>
      <c r="W89" s="12"/>
      <c r="X89" s="12"/>
      <c r="Y89" s="12"/>
      <c r="Z89" s="12"/>
      <c r="AA89" s="12"/>
    </row>
    <row r="90" spans="1:27" ht="15.4">
      <c r="A90" s="40"/>
      <c r="B90" s="12"/>
      <c r="C90" s="12" t="s">
        <v>89</v>
      </c>
      <c r="D90" s="25">
        <v>70</v>
      </c>
      <c r="E90" s="26">
        <f t="shared" si="28"/>
        <v>0</v>
      </c>
      <c r="F90" s="25">
        <v>70</v>
      </c>
      <c r="G90" s="12" t="s">
        <v>14</v>
      </c>
      <c r="H90" s="28">
        <f t="shared" si="34"/>
        <v>70</v>
      </c>
      <c r="I90" s="12" t="str">
        <f t="shared" si="35"/>
        <v>Stevens Poker Club</v>
      </c>
      <c r="J90" s="12"/>
      <c r="K90" s="36">
        <v>1201494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5.4">
      <c r="A91" s="40"/>
      <c r="B91" s="12"/>
      <c r="C91" s="12" t="s">
        <v>90</v>
      </c>
      <c r="D91" s="25">
        <v>246</v>
      </c>
      <c r="E91" s="26">
        <f t="shared" si="28"/>
        <v>0</v>
      </c>
      <c r="F91" s="25">
        <v>246</v>
      </c>
      <c r="G91" s="12" t="s">
        <v>14</v>
      </c>
      <c r="H91" s="28">
        <f t="shared" ref="H91" si="36">IF(G91="Approved",F91,0)</f>
        <v>246</v>
      </c>
      <c r="I91" s="12" t="str">
        <f t="shared" ref="I91" si="37">C91</f>
        <v>Stevens Game Devlopment</v>
      </c>
      <c r="J91" s="12"/>
      <c r="K91" s="36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5.4">
      <c r="A92" s="40"/>
      <c r="B92" s="12"/>
      <c r="C92" s="12" t="s">
        <v>91</v>
      </c>
      <c r="D92" s="25">
        <v>495.27</v>
      </c>
      <c r="E92" s="26">
        <f t="shared" ref="E92:E93" si="38">D92-F92</f>
        <v>0</v>
      </c>
      <c r="F92" s="25">
        <v>495.27</v>
      </c>
      <c r="G92" s="12" t="s">
        <v>14</v>
      </c>
      <c r="H92" s="28">
        <f t="shared" ref="H92:H93" si="39">IF(G92="Approved",F92,0)</f>
        <v>495.27</v>
      </c>
      <c r="I92" s="12" t="str">
        <f t="shared" ref="I92:I93" si="40">C92</f>
        <v>SGA 1</v>
      </c>
      <c r="J92" s="12"/>
      <c r="K92" s="36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5.4">
      <c r="A93" s="40"/>
      <c r="B93" s="12"/>
      <c r="C93" s="12" t="s">
        <v>92</v>
      </c>
      <c r="D93" s="25">
        <v>950</v>
      </c>
      <c r="E93" s="26">
        <f t="shared" si="38"/>
        <v>0</v>
      </c>
      <c r="F93" s="25">
        <v>950</v>
      </c>
      <c r="G93" s="12" t="s">
        <v>14</v>
      </c>
      <c r="H93" s="28">
        <f t="shared" si="39"/>
        <v>950</v>
      </c>
      <c r="I93" s="12" t="str">
        <f t="shared" si="40"/>
        <v>SGA 2</v>
      </c>
      <c r="J93" s="12"/>
      <c r="K93" s="36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5.4">
      <c r="A94" s="40"/>
      <c r="B94" s="12"/>
      <c r="C94" s="12" t="s">
        <v>93</v>
      </c>
      <c r="D94" s="25">
        <v>420</v>
      </c>
      <c r="E94" s="26">
        <f>D94-F94</f>
        <v>0</v>
      </c>
      <c r="F94" s="25">
        <v>420</v>
      </c>
      <c r="G94" s="12" t="s">
        <v>14</v>
      </c>
      <c r="H94" s="28">
        <f>IF(G94="Approved",F94,0)</f>
        <v>420</v>
      </c>
      <c r="I94" s="12" t="str">
        <f>C94</f>
        <v>SGA 3</v>
      </c>
      <c r="J94" s="12"/>
      <c r="K94" s="36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5.4">
      <c r="A95" s="40"/>
      <c r="B95" s="29"/>
      <c r="C95" s="29"/>
      <c r="D95" s="29"/>
      <c r="E95" s="29"/>
      <c r="F95" s="29"/>
      <c r="G95" s="29"/>
      <c r="H95" s="30">
        <f>SUM(H56:H94)</f>
        <v>9812.66</v>
      </c>
      <c r="I95" s="29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5.4">
      <c r="A96" s="40"/>
      <c r="B96" s="23"/>
      <c r="C96" s="23"/>
      <c r="D96" s="23"/>
      <c r="E96" s="23"/>
      <c r="F96" s="23"/>
      <c r="G96" s="23"/>
      <c r="H96" s="23"/>
      <c r="I96" s="24">
        <f>I55-H95</f>
        <v>158330.16000000003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5.4">
      <c r="A97" s="40"/>
      <c r="B97" s="12"/>
      <c r="C97" s="12" t="s">
        <v>94</v>
      </c>
      <c r="D97" s="25">
        <v>2200</v>
      </c>
      <c r="E97" s="26">
        <f t="shared" ref="E97:E108" si="41">D97-F97</f>
        <v>0</v>
      </c>
      <c r="F97" s="25">
        <v>2200</v>
      </c>
      <c r="G97" s="12" t="s">
        <v>14</v>
      </c>
      <c r="H97" s="25">
        <f t="shared" ref="H97:H109" si="42">IF(G97="Approved",F97,0)</f>
        <v>2200</v>
      </c>
      <c r="I97" s="12" t="str">
        <f t="shared" ref="I97:I109" si="43">C97</f>
        <v>NSBE 1</v>
      </c>
      <c r="J97" s="12"/>
      <c r="K97" s="12">
        <v>1201148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5.4">
      <c r="A98" s="40"/>
      <c r="B98" s="12"/>
      <c r="C98" s="12" t="s">
        <v>95</v>
      </c>
      <c r="D98" s="25">
        <v>301.7</v>
      </c>
      <c r="E98" s="26">
        <f t="shared" si="41"/>
        <v>0</v>
      </c>
      <c r="F98" s="25">
        <v>301.7</v>
      </c>
      <c r="G98" s="12" t="s">
        <v>14</v>
      </c>
      <c r="H98" s="25">
        <f t="shared" si="42"/>
        <v>301.7</v>
      </c>
      <c r="I98" s="12" t="str">
        <f t="shared" si="43"/>
        <v>NSBE 2</v>
      </c>
      <c r="J98" s="12"/>
      <c r="K98" s="12">
        <v>1201148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5.4">
      <c r="A99" s="40"/>
      <c r="B99" s="12"/>
      <c r="C99" s="12" t="s">
        <v>96</v>
      </c>
      <c r="D99" s="25">
        <v>80.09</v>
      </c>
      <c r="E99" s="26">
        <f t="shared" si="41"/>
        <v>0</v>
      </c>
      <c r="F99" s="25">
        <v>80.09</v>
      </c>
      <c r="G99" s="12" t="s">
        <v>14</v>
      </c>
      <c r="H99" s="25">
        <f t="shared" si="42"/>
        <v>80.09</v>
      </c>
      <c r="I99" s="12" t="str">
        <f t="shared" si="43"/>
        <v>SWICS 1</v>
      </c>
      <c r="J99" s="12"/>
      <c r="K99" s="16" t="s">
        <v>97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5.4">
      <c r="A100" s="40"/>
      <c r="B100" s="12"/>
      <c r="C100" s="12" t="s">
        <v>98</v>
      </c>
      <c r="D100" s="25">
        <v>295.2</v>
      </c>
      <c r="E100" s="26">
        <f t="shared" si="41"/>
        <v>0</v>
      </c>
      <c r="F100" s="25">
        <v>295.2</v>
      </c>
      <c r="G100" s="12" t="s">
        <v>14</v>
      </c>
      <c r="H100" s="25">
        <f t="shared" si="42"/>
        <v>295.2</v>
      </c>
      <c r="I100" s="12" t="str">
        <f t="shared" si="43"/>
        <v>SWICS 2</v>
      </c>
      <c r="J100" s="12"/>
      <c r="K100" s="16" t="s">
        <v>97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5.4">
      <c r="A101" s="40"/>
      <c r="B101" s="12"/>
      <c r="C101" s="12" t="s">
        <v>99</v>
      </c>
      <c r="D101" s="25">
        <v>100</v>
      </c>
      <c r="E101" s="26">
        <f t="shared" si="41"/>
        <v>100</v>
      </c>
      <c r="F101" s="25">
        <v>0</v>
      </c>
      <c r="G101" s="12" t="s">
        <v>57</v>
      </c>
      <c r="H101" s="25">
        <f t="shared" si="42"/>
        <v>0</v>
      </c>
      <c r="I101" s="12" t="str">
        <f t="shared" si="43"/>
        <v>IEEE</v>
      </c>
      <c r="J101" s="12"/>
      <c r="K101" s="12">
        <v>1201141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5.4">
      <c r="A102" s="40"/>
      <c r="B102" s="12"/>
      <c r="C102" s="12" t="s">
        <v>100</v>
      </c>
      <c r="D102" s="25">
        <v>76.39</v>
      </c>
      <c r="E102" s="26">
        <f t="shared" si="41"/>
        <v>76.39</v>
      </c>
      <c r="F102" s="25">
        <v>0</v>
      </c>
      <c r="G102" s="12" t="s">
        <v>57</v>
      </c>
      <c r="H102" s="25">
        <f t="shared" si="42"/>
        <v>0</v>
      </c>
      <c r="I102" s="12" t="str">
        <f t="shared" si="43"/>
        <v xml:space="preserve">INCOSE 1 </v>
      </c>
      <c r="J102" s="12"/>
      <c r="K102" s="16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5.4">
      <c r="A103" s="40"/>
      <c r="B103" s="12"/>
      <c r="C103" s="12" t="s">
        <v>101</v>
      </c>
      <c r="D103" s="25">
        <v>140.94999999999999</v>
      </c>
      <c r="E103" s="26">
        <f t="shared" si="41"/>
        <v>0</v>
      </c>
      <c r="F103" s="25">
        <v>140.94999999999999</v>
      </c>
      <c r="G103" s="12" t="s">
        <v>14</v>
      </c>
      <c r="H103" s="25">
        <f t="shared" si="42"/>
        <v>140.94999999999999</v>
      </c>
      <c r="I103" s="12" t="str">
        <f t="shared" si="43"/>
        <v>INCOSE 2</v>
      </c>
      <c r="J103" s="12"/>
      <c r="K103" s="18"/>
      <c r="L103" s="18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5.4">
      <c r="A104" s="40"/>
      <c r="B104" s="12"/>
      <c r="C104" s="12" t="s">
        <v>20</v>
      </c>
      <c r="D104" s="25">
        <v>290.33</v>
      </c>
      <c r="E104" s="25">
        <f>D104-F104</f>
        <v>0</v>
      </c>
      <c r="F104" s="25">
        <v>290.33</v>
      </c>
      <c r="G104" s="12" t="s">
        <v>14</v>
      </c>
      <c r="H104" s="25">
        <f t="shared" si="42"/>
        <v>290.33</v>
      </c>
      <c r="I104" s="12" t="str">
        <f t="shared" si="43"/>
        <v>MENNA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5.4">
      <c r="A105" s="40"/>
      <c r="B105" s="12"/>
      <c r="C105" s="12" t="s">
        <v>102</v>
      </c>
      <c r="D105" s="25">
        <v>100</v>
      </c>
      <c r="E105" s="26">
        <f t="shared" si="41"/>
        <v>0</v>
      </c>
      <c r="F105" s="25">
        <v>100</v>
      </c>
      <c r="G105" s="12" t="s">
        <v>14</v>
      </c>
      <c r="H105" s="28">
        <f t="shared" si="42"/>
        <v>100</v>
      </c>
      <c r="I105" s="12" t="str">
        <f t="shared" si="43"/>
        <v>EWB 1</v>
      </c>
      <c r="J105" s="12"/>
      <c r="K105" s="36" t="s">
        <v>103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5.4">
      <c r="A106" s="40"/>
      <c r="B106" s="12"/>
      <c r="C106" s="12" t="s">
        <v>104</v>
      </c>
      <c r="D106" s="25">
        <v>79.34</v>
      </c>
      <c r="E106" s="26">
        <f t="shared" si="41"/>
        <v>0</v>
      </c>
      <c r="F106" s="25">
        <v>79.34</v>
      </c>
      <c r="G106" s="12" t="s">
        <v>14</v>
      </c>
      <c r="H106" s="28">
        <f t="shared" si="42"/>
        <v>79.34</v>
      </c>
      <c r="I106" s="12" t="str">
        <f t="shared" si="43"/>
        <v>EWB 2</v>
      </c>
      <c r="J106" s="12"/>
      <c r="K106" s="36" t="s">
        <v>103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.4">
      <c r="A107" s="40"/>
      <c r="B107" s="12"/>
      <c r="C107" s="12" t="s">
        <v>105</v>
      </c>
      <c r="D107" s="25">
        <v>7</v>
      </c>
      <c r="E107" s="26">
        <f t="shared" si="41"/>
        <v>0</v>
      </c>
      <c r="F107" s="25">
        <v>7</v>
      </c>
      <c r="G107" s="12" t="s">
        <v>14</v>
      </c>
      <c r="H107" s="28">
        <f t="shared" si="42"/>
        <v>7</v>
      </c>
      <c r="I107" s="12" t="str">
        <f t="shared" si="43"/>
        <v>Audio Engineering Club</v>
      </c>
      <c r="J107" s="12"/>
      <c r="K107" s="12" t="s">
        <v>106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5.4">
      <c r="A108" s="40"/>
      <c r="B108" s="12"/>
      <c r="C108" s="12" t="s">
        <v>69</v>
      </c>
      <c r="D108" s="25">
        <v>97.4</v>
      </c>
      <c r="E108" s="26">
        <f t="shared" si="41"/>
        <v>-2.5999999999999943</v>
      </c>
      <c r="F108" s="25">
        <v>100</v>
      </c>
      <c r="G108" s="12" t="s">
        <v>14</v>
      </c>
      <c r="H108" s="28">
        <f t="shared" si="42"/>
        <v>100</v>
      </c>
      <c r="I108" s="12" t="str">
        <f t="shared" si="43"/>
        <v>The Stute 1</v>
      </c>
      <c r="J108" s="12"/>
      <c r="K108" s="36" t="s">
        <v>70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.4">
      <c r="A109" s="40"/>
      <c r="B109" s="12"/>
      <c r="C109" s="12" t="s">
        <v>71</v>
      </c>
      <c r="D109" s="25">
        <v>199.48</v>
      </c>
      <c r="E109" s="26">
        <f>D109-F109</f>
        <v>0</v>
      </c>
      <c r="F109" s="25">
        <v>199.48</v>
      </c>
      <c r="G109" s="12" t="s">
        <v>14</v>
      </c>
      <c r="H109" s="28">
        <f t="shared" si="42"/>
        <v>199.48</v>
      </c>
      <c r="I109" s="12" t="str">
        <f t="shared" si="43"/>
        <v>The Stute 2</v>
      </c>
      <c r="J109" s="12"/>
      <c r="K109" s="36" t="s">
        <v>70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5.4">
      <c r="A110" s="40"/>
      <c r="B110" s="12"/>
      <c r="C110" s="12" t="s">
        <v>28</v>
      </c>
      <c r="D110" s="25">
        <v>78.95</v>
      </c>
      <c r="E110" s="26">
        <f t="shared" ref="E110:E117" si="44">D110-F110</f>
        <v>0</v>
      </c>
      <c r="F110" s="25">
        <v>78.95</v>
      </c>
      <c r="G110" s="12" t="s">
        <v>14</v>
      </c>
      <c r="H110" s="28">
        <f t="shared" ref="H110:H117" si="45">IF(G110="Approved",F110,0)</f>
        <v>78.95</v>
      </c>
      <c r="I110" s="12" t="str">
        <f t="shared" ref="I110:I117" si="46">C110</f>
        <v>CSA 1</v>
      </c>
      <c r="J110" s="12"/>
      <c r="K110" s="36">
        <v>1201136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.4">
      <c r="A111" s="40"/>
      <c r="B111" s="12"/>
      <c r="C111" s="12" t="s">
        <v>29</v>
      </c>
      <c r="D111" s="25">
        <v>1978.49</v>
      </c>
      <c r="E111" s="26">
        <f t="shared" si="44"/>
        <v>0</v>
      </c>
      <c r="F111" s="25">
        <v>1978.49</v>
      </c>
      <c r="G111" s="12" t="s">
        <v>14</v>
      </c>
      <c r="H111" s="28">
        <f t="shared" si="45"/>
        <v>1978.49</v>
      </c>
      <c r="I111" s="12" t="str">
        <f t="shared" si="46"/>
        <v>CSA 2</v>
      </c>
      <c r="J111" s="12"/>
      <c r="K111" s="36">
        <v>1201136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5.4">
      <c r="A112" s="40"/>
      <c r="B112" s="12"/>
      <c r="C112" s="12" t="s">
        <v>15</v>
      </c>
      <c r="D112" s="25">
        <v>300</v>
      </c>
      <c r="E112" s="26">
        <f t="shared" si="44"/>
        <v>300</v>
      </c>
      <c r="F112" s="25">
        <v>0</v>
      </c>
      <c r="G112" s="12" t="s">
        <v>57</v>
      </c>
      <c r="H112" s="28">
        <f t="shared" si="45"/>
        <v>0</v>
      </c>
      <c r="I112" s="12" t="str">
        <f t="shared" si="46"/>
        <v>SDS</v>
      </c>
      <c r="J112" s="12"/>
      <c r="K112" s="18">
        <v>1200914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.4">
      <c r="A113" s="40"/>
      <c r="B113" s="12"/>
      <c r="C113" s="12" t="s">
        <v>107</v>
      </c>
      <c r="D113" s="25">
        <v>82.96</v>
      </c>
      <c r="E113" s="26">
        <f t="shared" si="44"/>
        <v>0</v>
      </c>
      <c r="F113" s="25">
        <v>82.96</v>
      </c>
      <c r="G113" s="12" t="s">
        <v>14</v>
      </c>
      <c r="H113" s="28">
        <f t="shared" si="45"/>
        <v>82.96</v>
      </c>
      <c r="I113" s="12" t="str">
        <f t="shared" si="46"/>
        <v>SWIB 1</v>
      </c>
      <c r="J113" s="12"/>
      <c r="K113" s="18" t="s">
        <v>108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5.4">
      <c r="A114" s="40"/>
      <c r="B114" s="12"/>
      <c r="C114" s="12" t="s">
        <v>109</v>
      </c>
      <c r="D114" s="25">
        <v>266.32</v>
      </c>
      <c r="E114" s="26">
        <f t="shared" si="44"/>
        <v>0</v>
      </c>
      <c r="F114" s="25">
        <v>266.32</v>
      </c>
      <c r="G114" s="12" t="s">
        <v>14</v>
      </c>
      <c r="H114" s="28">
        <f t="shared" si="45"/>
        <v>266.32</v>
      </c>
      <c r="I114" s="12" t="str">
        <f t="shared" si="46"/>
        <v>SWIB 2</v>
      </c>
      <c r="J114" s="12"/>
      <c r="K114" s="18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4">
      <c r="A115" s="40"/>
      <c r="B115" s="12"/>
      <c r="C115" s="12" t="s">
        <v>110</v>
      </c>
      <c r="D115" s="25">
        <v>167.55</v>
      </c>
      <c r="E115" s="26">
        <f t="shared" si="44"/>
        <v>0</v>
      </c>
      <c r="F115" s="25">
        <v>167.55</v>
      </c>
      <c r="G115" s="12" t="s">
        <v>14</v>
      </c>
      <c r="H115" s="28">
        <f t="shared" si="45"/>
        <v>167.55</v>
      </c>
      <c r="I115" s="12" t="str">
        <f t="shared" si="46"/>
        <v>Art Installation 1</v>
      </c>
      <c r="J115" s="12"/>
      <c r="K115" s="18" t="s">
        <v>111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5.4">
      <c r="A116" s="40"/>
      <c r="B116" s="12"/>
      <c r="C116" s="12" t="s">
        <v>112</v>
      </c>
      <c r="D116" s="25">
        <v>258.55</v>
      </c>
      <c r="E116" s="26">
        <f t="shared" si="44"/>
        <v>0</v>
      </c>
      <c r="F116" s="25">
        <v>258.55</v>
      </c>
      <c r="G116" s="12" t="s">
        <v>14</v>
      </c>
      <c r="H116" s="28">
        <f t="shared" si="45"/>
        <v>258.55</v>
      </c>
      <c r="I116" s="12" t="str">
        <f t="shared" si="46"/>
        <v>Art Installation 2</v>
      </c>
      <c r="J116" s="12"/>
      <c r="K116" s="18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4">
      <c r="A117" s="40"/>
      <c r="B117" s="12"/>
      <c r="C117" s="12" t="s">
        <v>45</v>
      </c>
      <c r="D117" s="25">
        <v>100</v>
      </c>
      <c r="E117" s="26">
        <f t="shared" si="44"/>
        <v>0</v>
      </c>
      <c r="F117" s="25">
        <v>100</v>
      </c>
      <c r="G117" s="12" t="s">
        <v>14</v>
      </c>
      <c r="H117" s="28">
        <f t="shared" si="45"/>
        <v>100</v>
      </c>
      <c r="I117" s="12" t="str">
        <f t="shared" si="46"/>
        <v>Amnesty</v>
      </c>
      <c r="J117" s="12"/>
      <c r="K117" s="18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5.4">
      <c r="A118" s="40"/>
      <c r="B118" s="12"/>
      <c r="C118" s="12" t="s">
        <v>34</v>
      </c>
      <c r="D118" s="25">
        <v>100</v>
      </c>
      <c r="E118" s="26">
        <f t="shared" ref="E118:E123" si="47">D118-F118</f>
        <v>0</v>
      </c>
      <c r="F118" s="25">
        <v>100</v>
      </c>
      <c r="G118" s="12" t="s">
        <v>14</v>
      </c>
      <c r="H118" s="28">
        <f t="shared" ref="H118:H123" si="48">IF(G118="Approved",F118,0)</f>
        <v>100</v>
      </c>
      <c r="I118" s="12" t="str">
        <f t="shared" ref="I118:I123" si="49">C118</f>
        <v>Jazba</v>
      </c>
      <c r="J118" s="12"/>
      <c r="K118" s="18">
        <v>1200927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4">
      <c r="A119" s="40"/>
      <c r="B119" s="12"/>
      <c r="C119" s="12" t="s">
        <v>113</v>
      </c>
      <c r="D119" s="25">
        <v>74.88</v>
      </c>
      <c r="E119" s="26">
        <f t="shared" si="47"/>
        <v>0</v>
      </c>
      <c r="F119" s="25">
        <v>74.88</v>
      </c>
      <c r="G119" s="12" t="s">
        <v>14</v>
      </c>
      <c r="H119" s="28">
        <f t="shared" si="48"/>
        <v>74.88</v>
      </c>
      <c r="I119" s="12" t="str">
        <f t="shared" si="49"/>
        <v>Hillel 1</v>
      </c>
      <c r="J119" s="12"/>
      <c r="K119" s="18" t="s">
        <v>114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5.4">
      <c r="A120" s="40"/>
      <c r="B120" s="12"/>
      <c r="C120" s="12" t="s">
        <v>115</v>
      </c>
      <c r="D120" s="25">
        <v>45</v>
      </c>
      <c r="E120" s="26">
        <f t="shared" si="47"/>
        <v>0</v>
      </c>
      <c r="F120" s="25">
        <v>45</v>
      </c>
      <c r="G120" s="12" t="s">
        <v>14</v>
      </c>
      <c r="H120" s="28">
        <f t="shared" si="48"/>
        <v>45</v>
      </c>
      <c r="I120" s="12" t="str">
        <f t="shared" si="49"/>
        <v>Hillel 2</v>
      </c>
      <c r="J120" s="12"/>
      <c r="K120" s="18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4">
      <c r="A121" s="40"/>
      <c r="B121" s="12"/>
      <c r="C121" s="12" t="s">
        <v>116</v>
      </c>
      <c r="D121" s="25">
        <v>34</v>
      </c>
      <c r="E121" s="26">
        <f t="shared" si="47"/>
        <v>0</v>
      </c>
      <c r="F121" s="25">
        <v>34</v>
      </c>
      <c r="G121" s="12" t="s">
        <v>14</v>
      </c>
      <c r="H121" s="28">
        <f t="shared" si="48"/>
        <v>34</v>
      </c>
      <c r="I121" s="12" t="str">
        <f t="shared" si="49"/>
        <v>ColorStack 1</v>
      </c>
      <c r="J121" s="12"/>
      <c r="K121" s="18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5.4">
      <c r="A122" s="40"/>
      <c r="B122" s="12"/>
      <c r="C122" s="12" t="s">
        <v>117</v>
      </c>
      <c r="D122" s="25">
        <v>170</v>
      </c>
      <c r="E122" s="26">
        <f t="shared" si="47"/>
        <v>0</v>
      </c>
      <c r="F122" s="25">
        <v>170</v>
      </c>
      <c r="G122" s="12" t="s">
        <v>14</v>
      </c>
      <c r="H122" s="28">
        <f t="shared" si="48"/>
        <v>170</v>
      </c>
      <c r="I122" s="12" t="str">
        <f t="shared" si="49"/>
        <v>ColorStack 2</v>
      </c>
      <c r="J122" s="12"/>
      <c r="K122" s="18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4">
      <c r="A123" s="40"/>
      <c r="B123" s="12"/>
      <c r="C123" s="12" t="s">
        <v>50</v>
      </c>
      <c r="D123" s="25">
        <v>350</v>
      </c>
      <c r="E123" s="26">
        <f t="shared" si="47"/>
        <v>0</v>
      </c>
      <c r="F123" s="25">
        <v>350</v>
      </c>
      <c r="G123" s="12" t="s">
        <v>14</v>
      </c>
      <c r="H123" s="28">
        <f t="shared" si="48"/>
        <v>350</v>
      </c>
      <c r="I123" s="12" t="str">
        <f t="shared" si="49"/>
        <v>Sikh</v>
      </c>
      <c r="J123" s="12"/>
      <c r="K123" s="18">
        <v>1200927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5.4">
      <c r="A124" s="40"/>
      <c r="B124" s="12"/>
      <c r="C124" s="12" t="s">
        <v>79</v>
      </c>
      <c r="D124" s="25">
        <v>76</v>
      </c>
      <c r="E124" s="26">
        <f t="shared" ref="E124:E132" si="50">D124-F124</f>
        <v>76</v>
      </c>
      <c r="F124" s="25">
        <v>0</v>
      </c>
      <c r="G124" s="12" t="s">
        <v>57</v>
      </c>
      <c r="H124" s="28">
        <f t="shared" ref="H124:H132" si="51">IF(G124="Approved",F124,0)</f>
        <v>0</v>
      </c>
      <c r="I124" s="12" t="str">
        <f t="shared" ref="I124:I132" si="52">C124</f>
        <v>BMES</v>
      </c>
      <c r="J124" s="12"/>
      <c r="K124" s="18" t="s">
        <v>80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5.4">
      <c r="A125" s="40"/>
      <c r="B125" s="12"/>
      <c r="C125" s="12" t="s">
        <v>118</v>
      </c>
      <c r="D125" s="25">
        <v>200</v>
      </c>
      <c r="E125" s="26">
        <f t="shared" si="50"/>
        <v>-41.300000000000011</v>
      </c>
      <c r="F125" s="25">
        <v>241.3</v>
      </c>
      <c r="G125" s="12" t="s">
        <v>14</v>
      </c>
      <c r="H125" s="28">
        <f t="shared" si="51"/>
        <v>241.3</v>
      </c>
      <c r="I125" s="12" t="str">
        <f t="shared" si="52"/>
        <v>Cyber Defense Team</v>
      </c>
      <c r="J125" s="12"/>
      <c r="K125" s="18">
        <v>120007001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5.4">
      <c r="A126" s="40"/>
      <c r="B126" s="12"/>
      <c r="C126" s="12" t="s">
        <v>119</v>
      </c>
      <c r="D126" s="25">
        <v>136.87</v>
      </c>
      <c r="E126" s="26">
        <f t="shared" si="50"/>
        <v>0</v>
      </c>
      <c r="F126" s="25">
        <v>136.87</v>
      </c>
      <c r="G126" s="12" t="s">
        <v>14</v>
      </c>
      <c r="H126" s="28">
        <f t="shared" si="51"/>
        <v>136.87</v>
      </c>
      <c r="I126" s="12" t="str">
        <f t="shared" si="52"/>
        <v>Software Engineering 1</v>
      </c>
      <c r="J126" s="12"/>
      <c r="K126" s="18">
        <v>1201515</v>
      </c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5.4">
      <c r="A127" s="40"/>
      <c r="B127" s="12"/>
      <c r="C127" s="12" t="s">
        <v>120</v>
      </c>
      <c r="D127" s="25">
        <v>80.55</v>
      </c>
      <c r="E127" s="26">
        <f t="shared" si="50"/>
        <v>0</v>
      </c>
      <c r="F127" s="25">
        <v>80.55</v>
      </c>
      <c r="G127" s="12" t="s">
        <v>14</v>
      </c>
      <c r="H127" s="28">
        <f t="shared" si="51"/>
        <v>80.55</v>
      </c>
      <c r="I127" s="12" t="str">
        <f t="shared" si="52"/>
        <v>Software Engineering 2</v>
      </c>
      <c r="J127" s="12"/>
      <c r="K127" s="18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5.4">
      <c r="A128" s="40"/>
      <c r="B128" s="12"/>
      <c r="C128" s="12" t="s">
        <v>121</v>
      </c>
      <c r="D128" s="25">
        <v>120</v>
      </c>
      <c r="E128" s="26">
        <f t="shared" si="50"/>
        <v>0</v>
      </c>
      <c r="F128" s="25">
        <v>120</v>
      </c>
      <c r="G128" s="12" t="s">
        <v>14</v>
      </c>
      <c r="H128" s="28">
        <f t="shared" si="51"/>
        <v>120</v>
      </c>
      <c r="I128" s="12" t="str">
        <f t="shared" si="52"/>
        <v>Software Engineering 3</v>
      </c>
      <c r="J128" s="12"/>
      <c r="K128" s="18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5.4">
      <c r="A129" s="40"/>
      <c r="B129" s="12"/>
      <c r="C129" s="12" t="s">
        <v>55</v>
      </c>
      <c r="D129" s="25">
        <v>268.95999999999998</v>
      </c>
      <c r="E129" s="26">
        <f t="shared" si="50"/>
        <v>0</v>
      </c>
      <c r="F129" s="25">
        <v>268.95999999999998</v>
      </c>
      <c r="G129" s="12" t="s">
        <v>14</v>
      </c>
      <c r="H129" s="28">
        <f t="shared" si="51"/>
        <v>268.95999999999998</v>
      </c>
      <c r="I129" s="12" t="str">
        <f t="shared" si="52"/>
        <v>OStem</v>
      </c>
      <c r="J129" s="12"/>
      <c r="K129" s="18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5.4">
      <c r="A130" s="40"/>
      <c r="B130" s="12"/>
      <c r="C130" s="12" t="s">
        <v>122</v>
      </c>
      <c r="D130" s="25">
        <v>1400</v>
      </c>
      <c r="E130" s="26">
        <f t="shared" si="50"/>
        <v>0</v>
      </c>
      <c r="F130" s="25">
        <v>1400</v>
      </c>
      <c r="G130" s="12" t="s">
        <v>14</v>
      </c>
      <c r="H130" s="28">
        <f t="shared" si="51"/>
        <v>1400</v>
      </c>
      <c r="I130" s="12" t="str">
        <f t="shared" si="52"/>
        <v>OStem 2</v>
      </c>
      <c r="J130" s="12"/>
      <c r="K130" s="18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4">
      <c r="A131" s="40"/>
      <c r="B131" s="12"/>
      <c r="C131" s="36" t="s">
        <v>82</v>
      </c>
      <c r="D131" s="25">
        <v>144</v>
      </c>
      <c r="E131" s="26">
        <f t="shared" si="50"/>
        <v>144</v>
      </c>
      <c r="F131" s="25">
        <v>0</v>
      </c>
      <c r="G131" s="12" t="s">
        <v>57</v>
      </c>
      <c r="H131" s="28">
        <f t="shared" si="51"/>
        <v>0</v>
      </c>
      <c r="I131" s="12" t="str">
        <f t="shared" si="52"/>
        <v>ALPFA</v>
      </c>
      <c r="J131" s="12"/>
      <c r="K131" s="18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5.4">
      <c r="A132" s="40"/>
      <c r="B132" s="12"/>
      <c r="C132" s="12" t="s">
        <v>123</v>
      </c>
      <c r="D132" s="25">
        <v>520.44000000000005</v>
      </c>
      <c r="E132" s="26">
        <f t="shared" si="50"/>
        <v>54.000000000000057</v>
      </c>
      <c r="F132" s="25">
        <v>466.44</v>
      </c>
      <c r="G132" s="12" t="s">
        <v>14</v>
      </c>
      <c r="H132" s="28">
        <f t="shared" si="51"/>
        <v>466.44</v>
      </c>
      <c r="I132" s="12" t="str">
        <f t="shared" si="52"/>
        <v>ASME 1</v>
      </c>
      <c r="J132" s="12"/>
      <c r="K132" s="18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4">
      <c r="A133" s="40"/>
      <c r="B133" s="12"/>
      <c r="C133" s="12" t="s">
        <v>124</v>
      </c>
      <c r="D133" s="25">
        <v>75</v>
      </c>
      <c r="E133" s="26">
        <f t="shared" ref="E133" si="53">D133-F133</f>
        <v>75</v>
      </c>
      <c r="F133" s="25">
        <v>0</v>
      </c>
      <c r="G133" s="12" t="s">
        <v>57</v>
      </c>
      <c r="H133" s="28">
        <f t="shared" ref="H133" si="54">IF(G133="Approved",F133,0)</f>
        <v>0</v>
      </c>
      <c r="I133" s="12" t="str">
        <f t="shared" ref="I133" si="55">C133</f>
        <v>ASME 2</v>
      </c>
      <c r="J133" s="12"/>
      <c r="K133" s="18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5.4">
      <c r="A134" s="40"/>
      <c r="B134" s="12"/>
      <c r="C134" s="12" t="s">
        <v>39</v>
      </c>
      <c r="D134" s="25">
        <v>174.32</v>
      </c>
      <c r="E134" s="26">
        <f t="shared" ref="E134:E142" si="56">D134-F134</f>
        <v>0</v>
      </c>
      <c r="F134" s="25">
        <v>174.32</v>
      </c>
      <c r="G134" s="12" t="s">
        <v>14</v>
      </c>
      <c r="H134" s="28">
        <f t="shared" ref="H134:H142" si="57">IF(G134="Approved",F134,0)</f>
        <v>174.32</v>
      </c>
      <c r="I134" s="12" t="str">
        <f t="shared" ref="I134:I142" si="58">C134</f>
        <v>VSA</v>
      </c>
      <c r="J134" s="12"/>
      <c r="K134" s="18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4">
      <c r="A135" s="40"/>
      <c r="B135" s="12"/>
      <c r="C135" s="12" t="s">
        <v>125</v>
      </c>
      <c r="D135" s="25">
        <v>80.73</v>
      </c>
      <c r="E135" s="26">
        <f t="shared" si="56"/>
        <v>80.73</v>
      </c>
      <c r="F135" s="25">
        <v>0</v>
      </c>
      <c r="G135" s="12" t="s">
        <v>57</v>
      </c>
      <c r="H135" s="28">
        <f t="shared" si="57"/>
        <v>0</v>
      </c>
      <c r="I135" s="12" t="str">
        <f t="shared" si="58"/>
        <v>ISA 1</v>
      </c>
      <c r="J135" s="12"/>
      <c r="K135" s="18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5.4">
      <c r="A136" s="40"/>
      <c r="B136" s="12"/>
      <c r="C136" s="12" t="s">
        <v>126</v>
      </c>
      <c r="D136" s="25">
        <v>178.6</v>
      </c>
      <c r="E136" s="26">
        <f t="shared" si="56"/>
        <v>178.6</v>
      </c>
      <c r="F136" s="25">
        <v>0</v>
      </c>
      <c r="G136" s="12" t="s">
        <v>57</v>
      </c>
      <c r="H136" s="28">
        <f t="shared" si="57"/>
        <v>0</v>
      </c>
      <c r="I136" s="12" t="str">
        <f t="shared" si="58"/>
        <v>ISA 2</v>
      </c>
      <c r="J136" s="12"/>
      <c r="K136" s="18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5.4">
      <c r="A137" s="40"/>
      <c r="B137" s="12"/>
      <c r="C137" s="12" t="s">
        <v>127</v>
      </c>
      <c r="D137" s="25">
        <v>170</v>
      </c>
      <c r="E137" s="26">
        <f t="shared" ref="E137:E139" si="59">D137-F137</f>
        <v>170</v>
      </c>
      <c r="F137" s="25">
        <v>0</v>
      </c>
      <c r="G137" s="12" t="s">
        <v>57</v>
      </c>
      <c r="H137" s="28">
        <f t="shared" ref="H137:H139" si="60">IF(G137="Approved",F137,0)</f>
        <v>0</v>
      </c>
      <c r="I137" s="12" t="str">
        <f t="shared" ref="I137:I139" si="61">C137</f>
        <v xml:space="preserve">Stevens Christian </v>
      </c>
      <c r="J137" s="12"/>
      <c r="K137" s="18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5.4">
      <c r="A138" s="40"/>
      <c r="B138" s="12"/>
      <c r="C138" s="12" t="s">
        <v>128</v>
      </c>
      <c r="D138" s="25">
        <v>90</v>
      </c>
      <c r="E138" s="26">
        <f t="shared" si="59"/>
        <v>0</v>
      </c>
      <c r="F138" s="25">
        <v>90</v>
      </c>
      <c r="G138" s="12" t="s">
        <v>14</v>
      </c>
      <c r="H138" s="28">
        <f t="shared" si="60"/>
        <v>90</v>
      </c>
      <c r="I138" s="12" t="str">
        <f t="shared" si="61"/>
        <v>Stevens TECHnique 1</v>
      </c>
      <c r="J138" s="12"/>
      <c r="K138" s="18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4">
      <c r="A139" s="40"/>
      <c r="B139" s="12"/>
      <c r="C139" s="12" t="s">
        <v>129</v>
      </c>
      <c r="D139" s="25">
        <v>350</v>
      </c>
      <c r="E139" s="26">
        <f t="shared" si="59"/>
        <v>0</v>
      </c>
      <c r="F139" s="25">
        <v>350</v>
      </c>
      <c r="G139" s="12" t="s">
        <v>14</v>
      </c>
      <c r="H139" s="28">
        <f t="shared" si="60"/>
        <v>350</v>
      </c>
      <c r="I139" s="12" t="str">
        <f t="shared" si="61"/>
        <v>Stevens TECHnique 2</v>
      </c>
      <c r="J139" s="12"/>
      <c r="K139" s="18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5.4">
      <c r="A140" s="40"/>
      <c r="B140" s="12"/>
      <c r="C140" s="12" t="s">
        <v>130</v>
      </c>
      <c r="D140" s="25">
        <v>43</v>
      </c>
      <c r="E140" s="26">
        <f t="shared" ref="E140" si="62">D140-F140</f>
        <v>-21.299999999999997</v>
      </c>
      <c r="F140" s="25">
        <v>64.3</v>
      </c>
      <c r="G140" s="12" t="s">
        <v>14</v>
      </c>
      <c r="H140" s="28">
        <f t="shared" ref="H140" si="63">IF(G140="Approved",F140,0)</f>
        <v>64.3</v>
      </c>
      <c r="I140" s="12" t="str">
        <f t="shared" ref="I140" si="64">C140</f>
        <v>SSAI 1</v>
      </c>
      <c r="J140" s="12"/>
      <c r="K140" s="18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4">
      <c r="A141" s="40"/>
      <c r="B141" s="12"/>
      <c r="C141" s="12" t="s">
        <v>131</v>
      </c>
      <c r="D141" s="25">
        <v>21.3</v>
      </c>
      <c r="E141" s="26">
        <f t="shared" ref="E141" si="65">D141-F141</f>
        <v>21.3</v>
      </c>
      <c r="F141" s="25">
        <v>0</v>
      </c>
      <c r="G141" s="12" t="s">
        <v>57</v>
      </c>
      <c r="H141" s="28">
        <f t="shared" ref="H141" si="66">IF(G141="Approved",F141,0)</f>
        <v>0</v>
      </c>
      <c r="I141" s="12" t="str">
        <f t="shared" ref="I141" si="67">C141</f>
        <v>SSAI 2</v>
      </c>
      <c r="J141" s="12"/>
      <c r="K141" s="18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5.4">
      <c r="A142" s="40"/>
      <c r="B142" s="12"/>
      <c r="C142" s="12" t="s">
        <v>13</v>
      </c>
      <c r="D142" s="25">
        <v>1332.3</v>
      </c>
      <c r="E142" s="26">
        <f t="shared" si="56"/>
        <v>0</v>
      </c>
      <c r="F142" s="25">
        <v>1332.3</v>
      </c>
      <c r="G142" s="12" t="s">
        <v>14</v>
      </c>
      <c r="H142" s="28">
        <f t="shared" si="57"/>
        <v>1332.3</v>
      </c>
      <c r="I142" s="12" t="str">
        <f t="shared" si="58"/>
        <v>SGA</v>
      </c>
      <c r="J142" s="12"/>
      <c r="K142" s="18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4">
      <c r="A143" s="40"/>
      <c r="B143" s="12"/>
      <c r="C143" s="12" t="s">
        <v>132</v>
      </c>
      <c r="D143" s="25">
        <v>17.98</v>
      </c>
      <c r="E143" s="26">
        <f>D143-F143</f>
        <v>0</v>
      </c>
      <c r="F143" s="25">
        <v>17.98</v>
      </c>
      <c r="G143" s="12" t="s">
        <v>14</v>
      </c>
      <c r="H143" s="28">
        <f>IF(G143="Approved",F143,0)</f>
        <v>17.98</v>
      </c>
      <c r="I143" s="12" t="str">
        <f>C143</f>
        <v>Empowerher 1</v>
      </c>
      <c r="J143" s="12"/>
      <c r="K143" s="18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5.4">
      <c r="A144" s="40"/>
      <c r="B144" s="12"/>
      <c r="C144" s="12" t="s">
        <v>133</v>
      </c>
      <c r="D144" s="25">
        <v>221.79</v>
      </c>
      <c r="E144" s="26">
        <f>D144-F144</f>
        <v>0</v>
      </c>
      <c r="F144" s="25">
        <v>221.79</v>
      </c>
      <c r="G144" s="12" t="s">
        <v>14</v>
      </c>
      <c r="H144" s="28">
        <f>IF(G144="Approved",F144,0)</f>
        <v>221.79</v>
      </c>
      <c r="I144" s="12" t="str">
        <f>C144</f>
        <v>empowerher 2</v>
      </c>
      <c r="J144" s="12"/>
      <c r="K144" s="18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5.4">
      <c r="A145" s="40"/>
      <c r="B145" s="12"/>
      <c r="C145" s="12" t="s">
        <v>134</v>
      </c>
      <c r="D145" s="25">
        <v>219</v>
      </c>
      <c r="E145" s="26">
        <f>D145-F145</f>
        <v>0</v>
      </c>
      <c r="F145" s="25">
        <v>219</v>
      </c>
      <c r="G145" s="12" t="s">
        <v>14</v>
      </c>
      <c r="H145" s="28">
        <f>IF(G145="Approved",F145,0)</f>
        <v>219</v>
      </c>
      <c r="I145" s="12" t="str">
        <f>C145</f>
        <v>SWE</v>
      </c>
      <c r="J145" s="12"/>
      <c r="K145" s="18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5.4">
      <c r="A146" s="40"/>
      <c r="B146" s="29"/>
      <c r="C146" s="29"/>
      <c r="D146" s="29"/>
      <c r="E146" s="29"/>
      <c r="F146" s="29"/>
      <c r="G146" s="29"/>
      <c r="H146" s="30">
        <f>SUM(H97:H145)</f>
        <v>12684.599999999999</v>
      </c>
      <c r="I146" s="29"/>
      <c r="J146" s="12"/>
      <c r="K146" s="18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5.4">
      <c r="A147" s="40"/>
      <c r="B147" s="23"/>
      <c r="C147" s="23"/>
      <c r="D147" s="23"/>
      <c r="E147" s="23"/>
      <c r="F147" s="23"/>
      <c r="G147" s="23"/>
      <c r="H147" s="23"/>
      <c r="I147" s="24">
        <f>I96-H146</f>
        <v>145645.56000000003</v>
      </c>
      <c r="J147" s="12"/>
      <c r="K147" s="18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5.4">
      <c r="A148" s="40"/>
      <c r="B148" s="12"/>
      <c r="C148" s="12" t="s">
        <v>135</v>
      </c>
      <c r="D148" s="25">
        <v>75</v>
      </c>
      <c r="E148" s="26">
        <f t="shared" ref="E148:E159" si="68">D148-F148</f>
        <v>0</v>
      </c>
      <c r="F148" s="25">
        <v>75</v>
      </c>
      <c r="G148" s="12" t="s">
        <v>14</v>
      </c>
      <c r="H148" s="25">
        <f t="shared" ref="H148:H160" si="69">IF(G148="Approved",F148,0)</f>
        <v>75</v>
      </c>
      <c r="I148" s="12" t="str">
        <f t="shared" ref="I148:I160" si="70">C148</f>
        <v>Stevens Game Development</v>
      </c>
      <c r="J148" s="12"/>
      <c r="K148" s="18">
        <v>1201112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4">
      <c r="A149" s="40"/>
      <c r="B149" s="12"/>
      <c r="C149" s="12" t="s">
        <v>19</v>
      </c>
      <c r="D149" s="25">
        <v>179</v>
      </c>
      <c r="E149" s="26">
        <f t="shared" si="68"/>
        <v>0</v>
      </c>
      <c r="F149" s="25">
        <v>179</v>
      </c>
      <c r="G149" s="12" t="s">
        <v>14</v>
      </c>
      <c r="H149" s="25">
        <f t="shared" si="69"/>
        <v>179</v>
      </c>
      <c r="I149" s="12" t="str">
        <f t="shared" si="70"/>
        <v>SHPE</v>
      </c>
      <c r="J149" s="12"/>
      <c r="K149" s="12">
        <v>1200933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5.4">
      <c r="A150" s="40"/>
      <c r="B150" s="12"/>
      <c r="C150" s="12" t="s">
        <v>82</v>
      </c>
      <c r="D150" s="25">
        <v>200</v>
      </c>
      <c r="E150" s="26">
        <f t="shared" si="68"/>
        <v>0</v>
      </c>
      <c r="F150" s="25">
        <v>200</v>
      </c>
      <c r="G150" s="12" t="s">
        <v>14</v>
      </c>
      <c r="H150" s="25">
        <f t="shared" si="69"/>
        <v>200</v>
      </c>
      <c r="I150" s="12" t="str">
        <f t="shared" si="70"/>
        <v>ALPFA</v>
      </c>
      <c r="J150" s="12"/>
      <c r="K150" s="18" t="s">
        <v>83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4">
      <c r="A151" s="40"/>
      <c r="B151" s="12"/>
      <c r="C151" s="12" t="s">
        <v>136</v>
      </c>
      <c r="D151" s="25">
        <v>100</v>
      </c>
      <c r="E151" s="26">
        <f t="shared" si="68"/>
        <v>100</v>
      </c>
      <c r="F151" s="25">
        <v>0</v>
      </c>
      <c r="G151" s="12" t="s">
        <v>57</v>
      </c>
      <c r="H151" s="25">
        <f t="shared" si="69"/>
        <v>0</v>
      </c>
      <c r="I151" s="12" t="str">
        <f t="shared" si="70"/>
        <v>Creative Story Telling</v>
      </c>
      <c r="J151" s="12"/>
      <c r="K151" s="18">
        <v>1200927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5.4">
      <c r="A152" s="40"/>
      <c r="B152" s="12"/>
      <c r="C152" s="12" t="s">
        <v>99</v>
      </c>
      <c r="D152" s="25">
        <v>280</v>
      </c>
      <c r="E152" s="26">
        <f t="shared" si="68"/>
        <v>0</v>
      </c>
      <c r="F152" s="25">
        <v>280</v>
      </c>
      <c r="G152" s="12" t="s">
        <v>14</v>
      </c>
      <c r="H152" s="25">
        <f t="shared" si="69"/>
        <v>280</v>
      </c>
      <c r="I152" s="12" t="str">
        <f t="shared" si="70"/>
        <v>IEEE</v>
      </c>
      <c r="J152" s="12"/>
      <c r="K152" s="18">
        <v>1201141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5.4">
      <c r="A153" s="40"/>
      <c r="B153" s="12"/>
      <c r="C153" s="12" t="s">
        <v>137</v>
      </c>
      <c r="D153" s="25">
        <v>164.1</v>
      </c>
      <c r="E153" s="26">
        <f t="shared" si="68"/>
        <v>0</v>
      </c>
      <c r="F153" s="25">
        <v>164.1</v>
      </c>
      <c r="G153" s="12" t="s">
        <v>14</v>
      </c>
      <c r="H153" s="25">
        <f t="shared" si="69"/>
        <v>164.1</v>
      </c>
      <c r="I153" s="12" t="str">
        <f t="shared" si="70"/>
        <v>Stevens Christian Fellowship 1</v>
      </c>
      <c r="J153" s="12"/>
      <c r="K153" s="18">
        <v>1201169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5.4">
      <c r="A154" s="40"/>
      <c r="B154" s="12"/>
      <c r="C154" s="44" t="s">
        <v>138</v>
      </c>
      <c r="D154" s="25">
        <v>170</v>
      </c>
      <c r="E154" s="26">
        <f t="shared" si="68"/>
        <v>0</v>
      </c>
      <c r="F154" s="25">
        <v>170</v>
      </c>
      <c r="G154" s="12" t="s">
        <v>14</v>
      </c>
      <c r="H154" s="25">
        <f t="shared" si="69"/>
        <v>170</v>
      </c>
      <c r="I154" s="12" t="str">
        <f t="shared" si="70"/>
        <v>Stevens Christian Fellowship 2</v>
      </c>
      <c r="J154" s="12"/>
      <c r="K154" s="18">
        <v>1201169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4">
      <c r="A155" s="40"/>
      <c r="B155" s="12"/>
      <c r="C155" s="12" t="s">
        <v>139</v>
      </c>
      <c r="D155" s="25">
        <v>100</v>
      </c>
      <c r="E155" s="26">
        <f t="shared" si="68"/>
        <v>0</v>
      </c>
      <c r="F155" s="25">
        <v>100</v>
      </c>
      <c r="G155" s="12" t="s">
        <v>14</v>
      </c>
      <c r="H155" s="25">
        <f t="shared" si="69"/>
        <v>100</v>
      </c>
      <c r="I155" s="12" t="str">
        <f t="shared" si="70"/>
        <v>Poker</v>
      </c>
      <c r="J155" s="12"/>
      <c r="K155" s="12">
        <v>1201494</v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5.4">
      <c r="A156" s="40"/>
      <c r="B156" s="12"/>
      <c r="C156" s="12" t="s">
        <v>140</v>
      </c>
      <c r="D156" s="25" t="s">
        <v>141</v>
      </c>
      <c r="E156" s="26" t="e">
        <f t="shared" si="68"/>
        <v>#VALUE!</v>
      </c>
      <c r="F156" s="25"/>
      <c r="G156" s="12" t="s">
        <v>57</v>
      </c>
      <c r="H156" s="28">
        <f t="shared" si="69"/>
        <v>0</v>
      </c>
      <c r="I156" s="12" t="str">
        <f t="shared" si="70"/>
        <v>EmpowerHer</v>
      </c>
      <c r="J156" s="12"/>
      <c r="K156" s="36" t="s">
        <v>142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4">
      <c r="A157" s="40"/>
      <c r="B157" s="12"/>
      <c r="C157" s="12" t="s">
        <v>143</v>
      </c>
      <c r="D157" s="25">
        <v>260.10000000000002</v>
      </c>
      <c r="E157" s="26">
        <f t="shared" si="68"/>
        <v>0</v>
      </c>
      <c r="F157" s="25">
        <v>260.10000000000002</v>
      </c>
      <c r="G157" s="12" t="s">
        <v>14</v>
      </c>
      <c r="H157" s="28">
        <f t="shared" si="69"/>
        <v>260.10000000000002</v>
      </c>
      <c r="I157" s="12" t="str">
        <f t="shared" si="70"/>
        <v>SITTV</v>
      </c>
      <c r="J157" s="12"/>
      <c r="K157" s="36">
        <v>1200940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5.4">
      <c r="A158" s="40"/>
      <c r="B158" s="12"/>
      <c r="C158" s="12" t="s">
        <v>144</v>
      </c>
      <c r="D158" s="25">
        <v>1720</v>
      </c>
      <c r="E158" s="26">
        <f t="shared" si="68"/>
        <v>0</v>
      </c>
      <c r="F158" s="25">
        <v>1720</v>
      </c>
      <c r="G158" s="12" t="s">
        <v>14</v>
      </c>
      <c r="H158" s="28">
        <f t="shared" si="69"/>
        <v>1720</v>
      </c>
      <c r="I158" s="12" t="str">
        <f t="shared" si="70"/>
        <v>StevensTHON 1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5.4">
      <c r="A159" s="40"/>
      <c r="B159" s="12"/>
      <c r="C159" s="12" t="s">
        <v>145</v>
      </c>
      <c r="D159" s="25">
        <v>144</v>
      </c>
      <c r="E159" s="26">
        <f t="shared" si="68"/>
        <v>0</v>
      </c>
      <c r="F159" s="25">
        <v>144</v>
      </c>
      <c r="G159" s="12" t="s">
        <v>14</v>
      </c>
      <c r="H159" s="28">
        <f t="shared" si="69"/>
        <v>144</v>
      </c>
      <c r="I159" s="12" t="str">
        <f t="shared" si="70"/>
        <v>StevensTHON 2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5.4">
      <c r="A160" s="40"/>
      <c r="B160" s="12"/>
      <c r="C160" s="12" t="s">
        <v>146</v>
      </c>
      <c r="D160" s="25">
        <v>202.48</v>
      </c>
      <c r="E160" s="26">
        <f t="shared" ref="E160:E178" si="71">D160-F160</f>
        <v>202.48</v>
      </c>
      <c r="F160" s="25">
        <v>0</v>
      </c>
      <c r="G160" s="12" t="s">
        <v>57</v>
      </c>
      <c r="H160" s="28">
        <f t="shared" si="69"/>
        <v>0</v>
      </c>
      <c r="I160" s="12" t="str">
        <f t="shared" si="70"/>
        <v>ISA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4">
      <c r="A161" s="40"/>
      <c r="B161" s="12"/>
      <c r="C161" s="12" t="s">
        <v>147</v>
      </c>
      <c r="D161" s="25">
        <v>32.270000000000003</v>
      </c>
      <c r="E161" s="26">
        <f t="shared" si="71"/>
        <v>0</v>
      </c>
      <c r="F161" s="25">
        <v>32.270000000000003</v>
      </c>
      <c r="G161" s="12" t="s">
        <v>14</v>
      </c>
      <c r="H161" s="28">
        <f t="shared" ref="H161:H178" si="72">IF(G161="Approved",F161,0)</f>
        <v>32.270000000000003</v>
      </c>
      <c r="I161" s="12" t="str">
        <f t="shared" ref="I161:I178" si="73">C161</f>
        <v>Computer Science Club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4">
      <c r="A162" s="40"/>
      <c r="B162" s="12"/>
      <c r="C162" s="12" t="s">
        <v>148</v>
      </c>
      <c r="D162" s="25">
        <v>100</v>
      </c>
      <c r="E162" s="26">
        <f t="shared" si="71"/>
        <v>0</v>
      </c>
      <c r="F162" s="25">
        <v>100</v>
      </c>
      <c r="G162" s="12" t="s">
        <v>14</v>
      </c>
      <c r="H162" s="28">
        <f t="shared" si="72"/>
        <v>100</v>
      </c>
      <c r="I162" s="12" t="str">
        <f t="shared" si="73"/>
        <v>SASE 1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4">
      <c r="A163" s="40"/>
      <c r="B163" s="12"/>
      <c r="C163" s="12" t="s">
        <v>149</v>
      </c>
      <c r="D163" s="25">
        <v>100</v>
      </c>
      <c r="E163" s="26">
        <f t="shared" si="71"/>
        <v>0</v>
      </c>
      <c r="F163" s="25">
        <v>100</v>
      </c>
      <c r="G163" s="12" t="s">
        <v>14</v>
      </c>
      <c r="H163" s="28">
        <f t="shared" si="72"/>
        <v>100</v>
      </c>
      <c r="I163" s="12" t="str">
        <f t="shared" si="73"/>
        <v>SASE 2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4">
      <c r="A164" s="40"/>
      <c r="B164" s="12"/>
      <c r="C164" s="12" t="s">
        <v>150</v>
      </c>
      <c r="D164" s="25">
        <v>150</v>
      </c>
      <c r="E164" s="26">
        <f t="shared" si="71"/>
        <v>0</v>
      </c>
      <c r="F164" s="25">
        <v>150</v>
      </c>
      <c r="G164" s="12" t="s">
        <v>14</v>
      </c>
      <c r="H164" s="28">
        <f t="shared" si="72"/>
        <v>150</v>
      </c>
      <c r="I164" s="12" t="str">
        <f t="shared" si="73"/>
        <v>KSA 1</v>
      </c>
      <c r="J164" s="12"/>
      <c r="K164" s="12">
        <v>1201133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4">
      <c r="A165" s="40"/>
      <c r="B165" s="12"/>
      <c r="C165" s="12" t="s">
        <v>151</v>
      </c>
      <c r="D165" s="25">
        <v>100</v>
      </c>
      <c r="E165" s="26">
        <f t="shared" si="71"/>
        <v>100</v>
      </c>
      <c r="F165" s="25">
        <v>0</v>
      </c>
      <c r="G165" s="12" t="s">
        <v>57</v>
      </c>
      <c r="H165" s="28">
        <f t="shared" si="72"/>
        <v>0</v>
      </c>
      <c r="I165" s="12" t="str">
        <f t="shared" si="73"/>
        <v>KSA 2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4">
      <c r="A166" s="40"/>
      <c r="B166" s="12"/>
      <c r="C166" s="12" t="s">
        <v>28</v>
      </c>
      <c r="D166" s="25">
        <v>100</v>
      </c>
      <c r="E166" s="26">
        <f t="shared" si="71"/>
        <v>0</v>
      </c>
      <c r="F166" s="25">
        <v>100</v>
      </c>
      <c r="G166" s="12" t="s">
        <v>14</v>
      </c>
      <c r="H166" s="28">
        <f t="shared" si="72"/>
        <v>100</v>
      </c>
      <c r="I166" s="12" t="str">
        <f t="shared" si="73"/>
        <v>CSA 1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4">
      <c r="A167" s="40"/>
      <c r="B167" s="12"/>
      <c r="C167" s="12" t="s">
        <v>29</v>
      </c>
      <c r="D167" s="25">
        <v>962.75</v>
      </c>
      <c r="E167" s="26">
        <f t="shared" si="71"/>
        <v>0</v>
      </c>
      <c r="F167" s="25">
        <v>962.75</v>
      </c>
      <c r="G167" s="12" t="s">
        <v>14</v>
      </c>
      <c r="H167" s="28">
        <f t="shared" si="72"/>
        <v>962.75</v>
      </c>
      <c r="I167" s="12" t="str">
        <f t="shared" si="73"/>
        <v>CSA 2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4">
      <c r="A168" s="40"/>
      <c r="B168" s="12"/>
      <c r="C168" s="12" t="s">
        <v>152</v>
      </c>
      <c r="D168" s="25">
        <v>100</v>
      </c>
      <c r="E168" s="26">
        <f t="shared" si="71"/>
        <v>0</v>
      </c>
      <c r="F168" s="25">
        <v>100</v>
      </c>
      <c r="G168" s="12" t="s">
        <v>14</v>
      </c>
      <c r="H168" s="28">
        <f t="shared" si="72"/>
        <v>100</v>
      </c>
      <c r="I168" s="12" t="str">
        <f t="shared" si="73"/>
        <v>ESC</v>
      </c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4">
      <c r="A169" s="40"/>
      <c r="B169" s="12"/>
      <c r="C169" s="12" t="s">
        <v>153</v>
      </c>
      <c r="D169" s="25">
        <v>500</v>
      </c>
      <c r="E169" s="26">
        <f t="shared" si="71"/>
        <v>500</v>
      </c>
      <c r="F169" s="25">
        <v>0</v>
      </c>
      <c r="G169" s="12" t="s">
        <v>57</v>
      </c>
      <c r="H169" s="28">
        <f t="shared" si="72"/>
        <v>0</v>
      </c>
      <c r="I169" s="12" t="str">
        <f t="shared" si="73"/>
        <v>AlChe</v>
      </c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4">
      <c r="A170" s="40"/>
      <c r="B170" s="12"/>
      <c r="C170" s="12" t="s">
        <v>31</v>
      </c>
      <c r="D170" s="25">
        <v>248.55</v>
      </c>
      <c r="E170" s="26">
        <f t="shared" si="71"/>
        <v>248.55</v>
      </c>
      <c r="F170" s="25">
        <v>0</v>
      </c>
      <c r="G170" s="12" t="s">
        <v>57</v>
      </c>
      <c r="H170" s="28">
        <f t="shared" si="72"/>
        <v>0</v>
      </c>
      <c r="I170" s="12" t="str">
        <f t="shared" si="73"/>
        <v>MSA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4">
      <c r="A171" s="40"/>
      <c r="B171" s="12"/>
      <c r="C171" s="12" t="s">
        <v>45</v>
      </c>
      <c r="D171" s="25">
        <v>200</v>
      </c>
      <c r="E171" s="26">
        <f t="shared" si="71"/>
        <v>0</v>
      </c>
      <c r="F171" s="25">
        <v>200</v>
      </c>
      <c r="G171" s="12" t="s">
        <v>14</v>
      </c>
      <c r="H171" s="28">
        <f t="shared" si="72"/>
        <v>200</v>
      </c>
      <c r="I171" s="12" t="str">
        <f t="shared" si="73"/>
        <v>Amnesty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4">
      <c r="A172" s="40"/>
      <c r="B172" s="12"/>
      <c r="C172" s="38" t="s">
        <v>154</v>
      </c>
      <c r="D172" s="25">
        <v>265.87</v>
      </c>
      <c r="E172" s="26">
        <f t="shared" si="71"/>
        <v>0</v>
      </c>
      <c r="F172" s="25">
        <v>265.87</v>
      </c>
      <c r="G172" s="12" t="s">
        <v>14</v>
      </c>
      <c r="H172" s="28">
        <f t="shared" si="72"/>
        <v>265.87</v>
      </c>
      <c r="I172" s="12" t="str">
        <f t="shared" si="73"/>
        <v>Historical Society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4">
      <c r="A173" s="40"/>
      <c r="B173" s="12"/>
      <c r="C173" s="12" t="s">
        <v>116</v>
      </c>
      <c r="D173" s="25">
        <v>60</v>
      </c>
      <c r="E173" s="26">
        <f t="shared" si="71"/>
        <v>0</v>
      </c>
      <c r="F173" s="25">
        <v>60</v>
      </c>
      <c r="G173" s="12" t="s">
        <v>14</v>
      </c>
      <c r="H173" s="28">
        <f t="shared" si="72"/>
        <v>60</v>
      </c>
      <c r="I173" s="12" t="str">
        <f t="shared" si="73"/>
        <v>ColorStack 1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4">
      <c r="A174" s="40"/>
      <c r="B174" s="12"/>
      <c r="C174" s="12" t="s">
        <v>117</v>
      </c>
      <c r="D174" s="25">
        <v>325</v>
      </c>
      <c r="E174" s="26">
        <f t="shared" si="71"/>
        <v>30</v>
      </c>
      <c r="F174" s="25">
        <v>295</v>
      </c>
      <c r="G174" s="12" t="s">
        <v>14</v>
      </c>
      <c r="H174" s="28">
        <f t="shared" si="72"/>
        <v>295</v>
      </c>
      <c r="I174" s="12" t="str">
        <f t="shared" si="73"/>
        <v>ColorStack 2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4">
      <c r="A175" s="40"/>
      <c r="B175" s="12"/>
      <c r="C175" s="12" t="s">
        <v>155</v>
      </c>
      <c r="D175" s="25">
        <v>1800</v>
      </c>
      <c r="E175" s="26">
        <f t="shared" si="71"/>
        <v>0</v>
      </c>
      <c r="F175" s="25">
        <v>1800</v>
      </c>
      <c r="G175" s="12" t="s">
        <v>14</v>
      </c>
      <c r="H175" s="28">
        <f t="shared" si="72"/>
        <v>1800</v>
      </c>
      <c r="I175" s="12" t="str">
        <f t="shared" si="73"/>
        <v>ColorStack 3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4">
      <c r="A176" s="40"/>
      <c r="B176" s="12"/>
      <c r="C176" s="12" t="s">
        <v>156</v>
      </c>
      <c r="D176" s="25">
        <v>432.39</v>
      </c>
      <c r="E176" s="26">
        <f t="shared" si="71"/>
        <v>0</v>
      </c>
      <c r="F176" s="25">
        <v>432.39</v>
      </c>
      <c r="G176" s="12" t="s">
        <v>14</v>
      </c>
      <c r="H176" s="28">
        <f t="shared" si="72"/>
        <v>432.39</v>
      </c>
      <c r="I176" s="12" t="str">
        <f t="shared" si="73"/>
        <v>Robotics</v>
      </c>
      <c r="J176" s="12"/>
      <c r="K176" s="36">
        <v>1200991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5.4">
      <c r="A177" s="40"/>
      <c r="B177" s="12"/>
      <c r="C177" s="12" t="s">
        <v>157</v>
      </c>
      <c r="D177" s="25">
        <v>100</v>
      </c>
      <c r="E177" s="26">
        <f t="shared" si="71"/>
        <v>0</v>
      </c>
      <c r="F177" s="25">
        <v>100</v>
      </c>
      <c r="G177" s="12" t="s">
        <v>14</v>
      </c>
      <c r="H177" s="28">
        <f t="shared" si="72"/>
        <v>100</v>
      </c>
      <c r="I177" s="12" t="str">
        <f t="shared" si="73"/>
        <v>RGB</v>
      </c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5.4">
      <c r="A178" s="40"/>
      <c r="B178" s="12"/>
      <c r="C178" s="12" t="s">
        <v>91</v>
      </c>
      <c r="D178" s="25">
        <v>235</v>
      </c>
      <c r="E178" s="26">
        <f t="shared" si="71"/>
        <v>0</v>
      </c>
      <c r="F178" s="25">
        <v>235</v>
      </c>
      <c r="G178" s="12" t="s">
        <v>14</v>
      </c>
      <c r="H178" s="28">
        <f t="shared" si="72"/>
        <v>235</v>
      </c>
      <c r="I178" s="12" t="str">
        <f t="shared" si="73"/>
        <v>SGA 1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5.4">
      <c r="A179" s="40"/>
      <c r="B179" s="12"/>
      <c r="C179" s="12" t="s">
        <v>92</v>
      </c>
      <c r="D179" s="25">
        <v>2302</v>
      </c>
      <c r="E179" s="26">
        <f t="shared" ref="E179" si="74">D179-F179</f>
        <v>0</v>
      </c>
      <c r="F179" s="25">
        <v>2302</v>
      </c>
      <c r="G179" s="12" t="s">
        <v>14</v>
      </c>
      <c r="H179" s="28">
        <f t="shared" ref="H179" si="75">IF(G179="Approved",F179,0)</f>
        <v>2302</v>
      </c>
      <c r="I179" s="12" t="str">
        <f t="shared" ref="I179" si="76">C179</f>
        <v>SGA 2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5.4">
      <c r="A180" s="40"/>
      <c r="B180" s="12"/>
      <c r="C180" s="12" t="s">
        <v>18</v>
      </c>
      <c r="D180" s="25">
        <v>77.760000000000005</v>
      </c>
      <c r="E180" s="26">
        <f>D180-F180</f>
        <v>0</v>
      </c>
      <c r="F180" s="25">
        <v>77.760000000000005</v>
      </c>
      <c r="G180" s="12" t="s">
        <v>14</v>
      </c>
      <c r="H180" s="28">
        <f>IF(G180="Approved",F180,0)</f>
        <v>77.760000000000005</v>
      </c>
      <c r="I180" s="12" t="str">
        <f>C180</f>
        <v>Hillel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5.4">
      <c r="A181" s="40"/>
      <c r="B181" s="12"/>
      <c r="C181" s="12" t="s">
        <v>46</v>
      </c>
      <c r="D181" s="25">
        <v>1700</v>
      </c>
      <c r="E181" s="26">
        <f t="shared" ref="E181:E183" si="77">D181-F181</f>
        <v>20</v>
      </c>
      <c r="F181" s="25">
        <v>1680</v>
      </c>
      <c r="G181" s="12" t="s">
        <v>14</v>
      </c>
      <c r="H181" s="28">
        <f t="shared" ref="H181:H183" si="78">IF(G181="Approved",F181,0)</f>
        <v>1680</v>
      </c>
      <c r="I181" s="12" t="str">
        <f t="shared" ref="I181:I183" si="79">C181</f>
        <v>SDS 1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5.4">
      <c r="A182" s="40"/>
      <c r="B182" s="12"/>
      <c r="C182" s="12" t="s">
        <v>47</v>
      </c>
      <c r="D182" s="25">
        <v>300</v>
      </c>
      <c r="E182" s="26">
        <f t="shared" si="77"/>
        <v>0</v>
      </c>
      <c r="F182" s="25">
        <v>300</v>
      </c>
      <c r="G182" s="12" t="s">
        <v>14</v>
      </c>
      <c r="H182" s="28">
        <f t="shared" si="78"/>
        <v>300</v>
      </c>
      <c r="I182" s="12" t="str">
        <f t="shared" si="79"/>
        <v>SDS 2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5.4">
      <c r="A183" s="40"/>
      <c r="B183" s="12"/>
      <c r="C183" s="12" t="s">
        <v>48</v>
      </c>
      <c r="D183" s="25">
        <v>2500</v>
      </c>
      <c r="E183" s="26">
        <f t="shared" si="77"/>
        <v>500</v>
      </c>
      <c r="F183" s="25">
        <v>2000</v>
      </c>
      <c r="G183" s="12" t="s">
        <v>14</v>
      </c>
      <c r="H183" s="28">
        <f t="shared" si="78"/>
        <v>2000</v>
      </c>
      <c r="I183" s="12" t="str">
        <f t="shared" si="79"/>
        <v>SDS 3</v>
      </c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5.4">
      <c r="A184" s="40"/>
      <c r="B184" s="12"/>
      <c r="C184" s="12" t="s">
        <v>49</v>
      </c>
      <c r="D184" s="25">
        <v>723.54</v>
      </c>
      <c r="E184" s="26">
        <f>D184-F184</f>
        <v>0</v>
      </c>
      <c r="F184" s="25">
        <v>723.54</v>
      </c>
      <c r="G184" s="12" t="s">
        <v>14</v>
      </c>
      <c r="H184" s="28">
        <f>IF(G184="Approved",F184,0)</f>
        <v>723.54</v>
      </c>
      <c r="I184" s="12" t="str">
        <f>C184</f>
        <v>SDS 4</v>
      </c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5.4">
      <c r="A185" s="40"/>
      <c r="B185" s="12"/>
      <c r="C185" s="12"/>
      <c r="D185" s="25"/>
      <c r="E185" s="26">
        <f t="shared" ref="E185:E186" si="80">D185-F185</f>
        <v>0</v>
      </c>
      <c r="F185" s="25"/>
      <c r="G185" s="12"/>
      <c r="H185" s="28">
        <f t="shared" ref="H185:H186" si="81">IF(G185="Approved",F185,0)</f>
        <v>0</v>
      </c>
      <c r="I185" s="12">
        <f t="shared" ref="I185:I186" si="82">C185</f>
        <v>0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5.4">
      <c r="A186" s="40"/>
      <c r="B186" s="12"/>
      <c r="C186" s="12"/>
      <c r="D186" s="25"/>
      <c r="E186" s="26">
        <f t="shared" si="80"/>
        <v>0</v>
      </c>
      <c r="F186" s="25"/>
      <c r="G186" s="12"/>
      <c r="H186" s="28">
        <f t="shared" si="81"/>
        <v>0</v>
      </c>
      <c r="I186" s="12">
        <f t="shared" si="82"/>
        <v>0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5.4">
      <c r="A187" s="40"/>
      <c r="B187" s="29"/>
      <c r="C187" s="29"/>
      <c r="D187" s="29"/>
      <c r="E187" s="29"/>
      <c r="F187" s="29"/>
      <c r="G187" s="29"/>
      <c r="H187" s="30">
        <f>SUM(H148:H184)</f>
        <v>15308.779999999999</v>
      </c>
      <c r="I187" s="29"/>
      <c r="J187" s="12"/>
      <c r="K187" s="18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5.4">
      <c r="A188" s="40"/>
      <c r="B188" s="23"/>
      <c r="C188" s="23"/>
      <c r="D188" s="23"/>
      <c r="E188" s="23"/>
      <c r="F188" s="23"/>
      <c r="G188" s="23"/>
      <c r="H188" s="23"/>
      <c r="I188" s="24">
        <f>I147-H187</f>
        <v>130336.78000000003</v>
      </c>
      <c r="J188" s="12"/>
      <c r="K188" s="18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5.4">
      <c r="A189" s="40"/>
      <c r="B189" s="12"/>
      <c r="C189" s="12" t="s">
        <v>158</v>
      </c>
      <c r="D189" s="25">
        <v>100</v>
      </c>
      <c r="E189" s="26">
        <f t="shared" ref="E189:E200" si="83">D189-F189</f>
        <v>0</v>
      </c>
      <c r="F189" s="25">
        <v>100</v>
      </c>
      <c r="G189" s="12" t="s">
        <v>14</v>
      </c>
      <c r="H189" s="25">
        <f t="shared" ref="H189:H201" si="84">IF(G189="Approved",F189,0)</f>
        <v>100</v>
      </c>
      <c r="I189" s="12" t="str">
        <f t="shared" ref="I189:I201" si="85">C189</f>
        <v>Badminton Club</v>
      </c>
      <c r="J189" s="12"/>
      <c r="K189" s="36" t="s">
        <v>159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5.4">
      <c r="A190" s="40"/>
      <c r="B190" s="12"/>
      <c r="C190" s="12" t="s">
        <v>160</v>
      </c>
      <c r="D190" s="25">
        <v>19.27</v>
      </c>
      <c r="E190" s="26">
        <f t="shared" si="83"/>
        <v>19.27</v>
      </c>
      <c r="F190" s="25">
        <v>0</v>
      </c>
      <c r="G190" s="12" t="s">
        <v>57</v>
      </c>
      <c r="H190" s="25">
        <f t="shared" si="84"/>
        <v>0</v>
      </c>
      <c r="I190" s="12" t="str">
        <f t="shared" si="85"/>
        <v>American Chemical Society</v>
      </c>
      <c r="J190" s="12"/>
      <c r="K190" s="18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5.4">
      <c r="A191" s="40"/>
      <c r="B191" s="12"/>
      <c r="C191" s="12" t="s">
        <v>161</v>
      </c>
      <c r="D191" s="25">
        <v>814.87</v>
      </c>
      <c r="E191" s="26">
        <f t="shared" si="83"/>
        <v>814.87</v>
      </c>
      <c r="F191" s="25">
        <v>0</v>
      </c>
      <c r="G191" s="12" t="s">
        <v>57</v>
      </c>
      <c r="H191" s="25">
        <f t="shared" si="84"/>
        <v>0</v>
      </c>
      <c r="I191" s="12" t="str">
        <f t="shared" si="85"/>
        <v>OStem 1</v>
      </c>
      <c r="J191" s="12"/>
      <c r="K191" s="18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5.4">
      <c r="A192" s="40"/>
      <c r="B192" s="12"/>
      <c r="C192" s="44" t="s">
        <v>122</v>
      </c>
      <c r="D192" s="25">
        <v>645.95000000000005</v>
      </c>
      <c r="E192" s="26">
        <f t="shared" si="83"/>
        <v>645.95000000000005</v>
      </c>
      <c r="F192" s="25">
        <v>0</v>
      </c>
      <c r="G192" s="12" t="s">
        <v>57</v>
      </c>
      <c r="H192" s="25">
        <f t="shared" si="84"/>
        <v>0</v>
      </c>
      <c r="I192" s="12" t="str">
        <f t="shared" si="85"/>
        <v>OStem 2</v>
      </c>
      <c r="J192" s="12"/>
      <c r="K192" s="18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5.4">
      <c r="A193" s="40"/>
      <c r="B193" s="12"/>
      <c r="C193" s="12" t="s">
        <v>162</v>
      </c>
      <c r="D193" s="25">
        <v>100</v>
      </c>
      <c r="E193" s="26">
        <f t="shared" si="83"/>
        <v>0</v>
      </c>
      <c r="F193" s="25">
        <v>100</v>
      </c>
      <c r="G193" s="12" t="s">
        <v>14</v>
      </c>
      <c r="H193" s="25">
        <f t="shared" si="84"/>
        <v>100</v>
      </c>
      <c r="I193" s="12" t="str">
        <f t="shared" si="85"/>
        <v xml:space="preserve">Creative Storytelling </v>
      </c>
      <c r="J193" s="12"/>
      <c r="K193" s="18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5.4">
      <c r="A194" s="40"/>
      <c r="B194" s="12"/>
      <c r="C194" s="12" t="s">
        <v>82</v>
      </c>
      <c r="D194" s="25">
        <v>220</v>
      </c>
      <c r="E194" s="26">
        <f t="shared" si="83"/>
        <v>0</v>
      </c>
      <c r="F194" s="25">
        <v>220</v>
      </c>
      <c r="G194" s="12" t="s">
        <v>14</v>
      </c>
      <c r="H194" s="25">
        <f t="shared" si="84"/>
        <v>220</v>
      </c>
      <c r="I194" s="12" t="str">
        <f t="shared" si="85"/>
        <v>ALPFA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5.4">
      <c r="A195" s="40"/>
      <c r="B195" s="12" t="s">
        <v>163</v>
      </c>
      <c r="C195" s="12" t="s">
        <v>140</v>
      </c>
      <c r="D195" s="25">
        <v>180</v>
      </c>
      <c r="E195" s="26">
        <f t="shared" si="83"/>
        <v>0</v>
      </c>
      <c r="F195" s="25">
        <v>180</v>
      </c>
      <c r="G195" s="12" t="s">
        <v>14</v>
      </c>
      <c r="H195" s="25">
        <f t="shared" si="84"/>
        <v>180</v>
      </c>
      <c r="I195" s="12" t="str">
        <f t="shared" si="85"/>
        <v>EmpowerHer</v>
      </c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5.4">
      <c r="A196" s="40"/>
      <c r="B196" s="12"/>
      <c r="C196" s="12" t="s">
        <v>164</v>
      </c>
      <c r="D196" s="25">
        <v>175</v>
      </c>
      <c r="E196" s="26">
        <f t="shared" si="83"/>
        <v>0</v>
      </c>
      <c r="F196" s="25">
        <v>175</v>
      </c>
      <c r="G196" s="12" t="s">
        <v>14</v>
      </c>
      <c r="H196" s="25">
        <f t="shared" si="84"/>
        <v>175</v>
      </c>
      <c r="I196" s="12" t="str">
        <f t="shared" si="85"/>
        <v>Tennis Club</v>
      </c>
      <c r="J196" s="12"/>
      <c r="K196" s="18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5.4">
      <c r="A197" s="40"/>
      <c r="B197" s="12"/>
      <c r="C197" s="12" t="s">
        <v>165</v>
      </c>
      <c r="D197" s="25">
        <v>417.27</v>
      </c>
      <c r="E197" s="26">
        <f t="shared" si="83"/>
        <v>417.27</v>
      </c>
      <c r="F197" s="25">
        <v>0</v>
      </c>
      <c r="G197" s="12" t="s">
        <v>57</v>
      </c>
      <c r="H197" s="28">
        <f t="shared" si="84"/>
        <v>0</v>
      </c>
      <c r="I197" s="12" t="str">
        <f t="shared" si="85"/>
        <v>SCG</v>
      </c>
      <c r="J197" s="12"/>
      <c r="K197" s="18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5.4">
      <c r="A198" s="40"/>
      <c r="B198" s="12"/>
      <c r="C198" s="12" t="s">
        <v>116</v>
      </c>
      <c r="D198" s="25">
        <v>50</v>
      </c>
      <c r="E198" s="26">
        <f t="shared" si="83"/>
        <v>50</v>
      </c>
      <c r="F198" s="25">
        <v>0</v>
      </c>
      <c r="G198" s="12" t="s">
        <v>57</v>
      </c>
      <c r="H198" s="28">
        <f t="shared" si="84"/>
        <v>0</v>
      </c>
      <c r="I198" s="12" t="str">
        <f t="shared" si="85"/>
        <v>ColorStack 1</v>
      </c>
      <c r="J198" s="12"/>
      <c r="K198" s="18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5.4">
      <c r="A199" s="40"/>
      <c r="B199" s="12"/>
      <c r="C199" s="12" t="s">
        <v>117</v>
      </c>
      <c r="D199" s="25">
        <v>20</v>
      </c>
      <c r="E199" s="26">
        <f t="shared" si="83"/>
        <v>20</v>
      </c>
      <c r="F199" s="25">
        <v>0</v>
      </c>
      <c r="G199" s="12" t="s">
        <v>57</v>
      </c>
      <c r="H199" s="28">
        <f t="shared" si="84"/>
        <v>0</v>
      </c>
      <c r="I199" s="12" t="str">
        <f t="shared" si="85"/>
        <v>ColorStack 2</v>
      </c>
      <c r="J199" s="12"/>
      <c r="K199" s="18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5.4">
      <c r="A200" s="40"/>
      <c r="B200" s="12"/>
      <c r="C200" s="12" t="s">
        <v>46</v>
      </c>
      <c r="D200" s="25">
        <v>500</v>
      </c>
      <c r="E200" s="26">
        <f t="shared" si="83"/>
        <v>0</v>
      </c>
      <c r="F200" s="25">
        <v>500</v>
      </c>
      <c r="G200" s="12" t="s">
        <v>14</v>
      </c>
      <c r="H200" s="28">
        <f t="shared" si="84"/>
        <v>500</v>
      </c>
      <c r="I200" s="12" t="str">
        <f t="shared" si="85"/>
        <v>SDS 1</v>
      </c>
      <c r="J200" s="12"/>
      <c r="K200" s="18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5.4">
      <c r="A201" s="40"/>
      <c r="B201" s="12"/>
      <c r="C201" s="12" t="s">
        <v>47</v>
      </c>
      <c r="D201" s="25">
        <v>1500</v>
      </c>
      <c r="E201" s="26">
        <f>D201-F201</f>
        <v>0</v>
      </c>
      <c r="F201" s="25">
        <v>1500</v>
      </c>
      <c r="G201" s="12" t="s">
        <v>14</v>
      </c>
      <c r="H201" s="28">
        <f t="shared" si="84"/>
        <v>1500</v>
      </c>
      <c r="I201" s="12" t="str">
        <f t="shared" si="85"/>
        <v>SDS 2</v>
      </c>
      <c r="J201" s="12"/>
      <c r="K201" s="18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5.4">
      <c r="A202" s="40"/>
      <c r="B202" s="12"/>
      <c r="C202" s="12" t="s">
        <v>48</v>
      </c>
      <c r="D202" s="25">
        <v>1905</v>
      </c>
      <c r="E202" s="26">
        <f t="shared" ref="E202:E230" si="86">D202-F202</f>
        <v>0</v>
      </c>
      <c r="F202" s="25">
        <v>1905</v>
      </c>
      <c r="G202" s="12" t="s">
        <v>14</v>
      </c>
      <c r="H202" s="28">
        <f t="shared" ref="H202:H204" si="87">IF(G202="Approved",F202,0)</f>
        <v>1905</v>
      </c>
      <c r="I202" s="12" t="str">
        <f t="shared" ref="I202:I204" si="88">C202</f>
        <v>SDS 3</v>
      </c>
      <c r="J202" s="12"/>
      <c r="K202" s="18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5.4">
      <c r="A203" s="40"/>
      <c r="B203" s="12"/>
      <c r="C203" s="12" t="s">
        <v>166</v>
      </c>
      <c r="D203" s="25">
        <v>100</v>
      </c>
      <c r="E203" s="26">
        <f t="shared" si="86"/>
        <v>0</v>
      </c>
      <c r="F203" s="26">
        <v>100</v>
      </c>
      <c r="G203" s="12" t="s">
        <v>14</v>
      </c>
      <c r="H203" s="28">
        <f t="shared" si="87"/>
        <v>100</v>
      </c>
      <c r="I203" s="12" t="str">
        <f t="shared" si="88"/>
        <v>SURC</v>
      </c>
      <c r="J203" s="12"/>
      <c r="K203" s="18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5.4">
      <c r="A204" s="40"/>
      <c r="B204" s="12"/>
      <c r="C204" s="12" t="s">
        <v>167</v>
      </c>
      <c r="D204" s="25">
        <v>500</v>
      </c>
      <c r="E204" s="26">
        <f t="shared" si="86"/>
        <v>0</v>
      </c>
      <c r="F204" s="25">
        <v>500</v>
      </c>
      <c r="G204" s="12" t="s">
        <v>14</v>
      </c>
      <c r="H204" s="28">
        <f t="shared" si="87"/>
        <v>500</v>
      </c>
      <c r="I204" s="12" t="str">
        <f t="shared" si="88"/>
        <v>AIChe 1</v>
      </c>
      <c r="J204" s="12"/>
      <c r="K204" s="18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5.4">
      <c r="A205" s="40"/>
      <c r="B205" s="12"/>
      <c r="C205" s="12" t="s">
        <v>168</v>
      </c>
      <c r="D205" s="25">
        <v>175</v>
      </c>
      <c r="E205" s="26">
        <f t="shared" si="86"/>
        <v>0</v>
      </c>
      <c r="F205" s="25">
        <v>175</v>
      </c>
      <c r="G205" s="12" t="s">
        <v>14</v>
      </c>
      <c r="H205" s="28">
        <f t="shared" ref="H205:H209" si="89">IF(G205="Approved",F205,0)</f>
        <v>175</v>
      </c>
      <c r="I205" s="12" t="str">
        <f t="shared" ref="I205:I209" si="90">C205</f>
        <v>AIChe 2</v>
      </c>
      <c r="J205" s="12"/>
      <c r="K205" s="18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5.4">
      <c r="A206" s="40"/>
      <c r="B206" s="12"/>
      <c r="C206" s="12" t="s">
        <v>169</v>
      </c>
      <c r="D206" s="25">
        <v>883.5</v>
      </c>
      <c r="E206" s="26">
        <f t="shared" si="86"/>
        <v>451.3</v>
      </c>
      <c r="F206" s="25">
        <v>432.2</v>
      </c>
      <c r="G206" s="12" t="s">
        <v>14</v>
      </c>
      <c r="H206" s="28">
        <f t="shared" si="89"/>
        <v>432.2</v>
      </c>
      <c r="I206" s="12" t="str">
        <f t="shared" si="90"/>
        <v>SNAME</v>
      </c>
      <c r="J206" s="12"/>
      <c r="K206" s="18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5.4">
      <c r="A207" s="40"/>
      <c r="B207" s="12"/>
      <c r="C207" s="12" t="s">
        <v>45</v>
      </c>
      <c r="D207" s="25">
        <v>109.69</v>
      </c>
      <c r="E207" s="26">
        <f t="shared" si="86"/>
        <v>0</v>
      </c>
      <c r="F207" s="25">
        <v>109.69</v>
      </c>
      <c r="G207" s="12" t="s">
        <v>14</v>
      </c>
      <c r="H207" s="28">
        <f t="shared" si="89"/>
        <v>109.69</v>
      </c>
      <c r="I207" s="12" t="str">
        <f t="shared" si="90"/>
        <v>Amnesty</v>
      </c>
      <c r="J207" s="12"/>
      <c r="K207" s="18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5.4">
      <c r="A208" s="40"/>
      <c r="B208" s="12"/>
      <c r="C208" s="12" t="s">
        <v>170</v>
      </c>
      <c r="D208" s="25">
        <v>171.63</v>
      </c>
      <c r="E208" s="26">
        <f t="shared" si="86"/>
        <v>0</v>
      </c>
      <c r="F208" s="25">
        <v>171.63</v>
      </c>
      <c r="G208" s="12" t="s">
        <v>14</v>
      </c>
      <c r="H208" s="28">
        <f t="shared" si="89"/>
        <v>171.63</v>
      </c>
      <c r="I208" s="12" t="str">
        <f t="shared" si="90"/>
        <v>WC</v>
      </c>
      <c r="J208" s="12"/>
      <c r="K208" s="18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.4">
      <c r="A209" s="40"/>
      <c r="B209" s="12"/>
      <c r="C209" s="12" t="s">
        <v>171</v>
      </c>
      <c r="D209" s="25">
        <v>284.75</v>
      </c>
      <c r="E209" s="26">
        <f t="shared" si="86"/>
        <v>0</v>
      </c>
      <c r="F209" s="25">
        <v>284.75</v>
      </c>
      <c r="G209" s="12" t="s">
        <v>14</v>
      </c>
      <c r="H209" s="28">
        <f t="shared" si="89"/>
        <v>284.75</v>
      </c>
      <c r="I209" s="12" t="str">
        <f t="shared" si="90"/>
        <v>Click It</v>
      </c>
      <c r="J209" s="12"/>
      <c r="K209" s="18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5.4">
      <c r="A210" s="40"/>
      <c r="B210" s="12"/>
      <c r="C210" s="12" t="s">
        <v>172</v>
      </c>
      <c r="D210" s="25">
        <v>100</v>
      </c>
      <c r="E210" s="26">
        <f t="shared" si="86"/>
        <v>0</v>
      </c>
      <c r="F210" s="25">
        <v>100</v>
      </c>
      <c r="G210" s="12" t="s">
        <v>14</v>
      </c>
      <c r="H210" s="28">
        <f t="shared" ref="H210:H216" si="91">IF(G210="Approved",F210,0)</f>
        <v>100</v>
      </c>
      <c r="I210" s="12" t="str">
        <f t="shared" ref="I210:I216" si="92">C210</f>
        <v>SCDT</v>
      </c>
      <c r="J210" s="12"/>
      <c r="K210" s="18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5.4">
      <c r="A211" s="40"/>
      <c r="B211" s="12" t="s">
        <v>173</v>
      </c>
      <c r="C211" s="12" t="s">
        <v>39</v>
      </c>
      <c r="D211" s="25">
        <v>195.51</v>
      </c>
      <c r="E211" s="26">
        <f t="shared" si="86"/>
        <v>0</v>
      </c>
      <c r="F211" s="25">
        <v>195.51</v>
      </c>
      <c r="G211" s="12" t="s">
        <v>14</v>
      </c>
      <c r="H211" s="28">
        <f t="shared" si="91"/>
        <v>195.51</v>
      </c>
      <c r="I211" s="12" t="str">
        <f t="shared" si="92"/>
        <v>VSA</v>
      </c>
      <c r="J211" s="12"/>
      <c r="K211" s="18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5.4">
      <c r="A212" s="40"/>
      <c r="B212" s="12" t="s">
        <v>174</v>
      </c>
      <c r="C212" s="12" t="s">
        <v>175</v>
      </c>
      <c r="D212" s="25">
        <v>100</v>
      </c>
      <c r="E212" s="26">
        <f t="shared" si="86"/>
        <v>0</v>
      </c>
      <c r="F212" s="25">
        <v>100</v>
      </c>
      <c r="G212" s="12" t="s">
        <v>14</v>
      </c>
      <c r="H212" s="28">
        <f t="shared" si="91"/>
        <v>100</v>
      </c>
      <c r="I212" s="12" t="str">
        <f t="shared" si="92"/>
        <v>Stevens Health Professionals Club 1</v>
      </c>
      <c r="J212" s="12"/>
      <c r="K212" s="18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5.4">
      <c r="A213" s="40"/>
      <c r="B213" s="12" t="s">
        <v>174</v>
      </c>
      <c r="C213" s="12" t="s">
        <v>176</v>
      </c>
      <c r="D213" s="25">
        <v>135</v>
      </c>
      <c r="E213" s="26">
        <f t="shared" ref="E213" si="93">D213-F213</f>
        <v>0</v>
      </c>
      <c r="F213" s="25">
        <v>135</v>
      </c>
      <c r="G213" s="12" t="s">
        <v>14</v>
      </c>
      <c r="H213" s="28">
        <f t="shared" ref="H213" si="94">IF(G213="Approved",F213,0)</f>
        <v>135</v>
      </c>
      <c r="I213" s="12" t="str">
        <f t="shared" ref="I213" si="95">C213</f>
        <v>Stevens Health Professionals Club 2</v>
      </c>
      <c r="J213" s="12"/>
      <c r="K213" s="18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5.4">
      <c r="A214" s="40"/>
      <c r="B214" s="12" t="s">
        <v>177</v>
      </c>
      <c r="C214" s="12" t="s">
        <v>69</v>
      </c>
      <c r="D214" s="25">
        <v>376.08</v>
      </c>
      <c r="E214" s="26">
        <f t="shared" si="86"/>
        <v>0</v>
      </c>
      <c r="F214" s="25">
        <v>376.08</v>
      </c>
      <c r="G214" s="12" t="s">
        <v>14</v>
      </c>
      <c r="H214" s="28">
        <f t="shared" si="91"/>
        <v>376.08</v>
      </c>
      <c r="I214" s="12" t="str">
        <f t="shared" si="92"/>
        <v>The Stute 1</v>
      </c>
      <c r="J214" s="12"/>
      <c r="K214" s="18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5.4">
      <c r="A215" s="40"/>
      <c r="B215" s="12"/>
      <c r="C215" s="12" t="s">
        <v>71</v>
      </c>
      <c r="D215" s="25">
        <v>95.54</v>
      </c>
      <c r="E215" s="26">
        <f t="shared" si="86"/>
        <v>0</v>
      </c>
      <c r="F215" s="25">
        <v>95.54</v>
      </c>
      <c r="G215" s="12" t="s">
        <v>14</v>
      </c>
      <c r="H215" s="28">
        <f t="shared" si="91"/>
        <v>95.54</v>
      </c>
      <c r="I215" s="12" t="str">
        <f t="shared" si="92"/>
        <v>The Stute 2</v>
      </c>
      <c r="J215" s="12"/>
      <c r="K215" s="18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5.4">
      <c r="A216" s="40"/>
      <c r="B216" s="12"/>
      <c r="C216" s="12" t="s">
        <v>178</v>
      </c>
      <c r="D216" s="25">
        <v>97.58</v>
      </c>
      <c r="E216" s="26">
        <f t="shared" si="86"/>
        <v>0</v>
      </c>
      <c r="F216" s="25">
        <v>97.58</v>
      </c>
      <c r="G216" s="12" t="s">
        <v>14</v>
      </c>
      <c r="H216" s="28">
        <f t="shared" si="91"/>
        <v>97.58</v>
      </c>
      <c r="I216" s="12" t="str">
        <f t="shared" si="92"/>
        <v>The Stute 3</v>
      </c>
      <c r="J216" s="12"/>
      <c r="K216" s="18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5.4">
      <c r="A217" s="40"/>
      <c r="B217" s="12" t="s">
        <v>179</v>
      </c>
      <c r="C217" s="12" t="s">
        <v>180</v>
      </c>
      <c r="D217" s="25">
        <v>225.39</v>
      </c>
      <c r="E217" s="26">
        <f t="shared" si="86"/>
        <v>0</v>
      </c>
      <c r="F217" s="25">
        <v>225.39</v>
      </c>
      <c r="G217" s="12" t="s">
        <v>14</v>
      </c>
      <c r="H217" s="28">
        <f t="shared" ref="H217:H227" si="96">IF(G217="Approved",F217,0)</f>
        <v>225.39</v>
      </c>
      <c r="I217" s="12" t="str">
        <f t="shared" ref="I217:I227" si="97">C217</f>
        <v>Stevens Computer Science Club 1</v>
      </c>
      <c r="J217" s="12"/>
      <c r="K217" s="18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5.4">
      <c r="A218" s="40"/>
      <c r="B218" s="12"/>
      <c r="C218" s="12" t="s">
        <v>181</v>
      </c>
      <c r="D218" s="25">
        <v>20</v>
      </c>
      <c r="E218" s="26">
        <f t="shared" si="86"/>
        <v>0</v>
      </c>
      <c r="F218" s="25">
        <v>20</v>
      </c>
      <c r="G218" s="12" t="s">
        <v>14</v>
      </c>
      <c r="H218" s="28">
        <f t="shared" si="96"/>
        <v>20</v>
      </c>
      <c r="I218" s="12" t="str">
        <f t="shared" si="97"/>
        <v>Stevens Computer Science Club 2</v>
      </c>
      <c r="J218" s="12"/>
      <c r="K218" s="18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5.4">
      <c r="A219" s="40"/>
      <c r="B219" s="12" t="s">
        <v>182</v>
      </c>
      <c r="C219" s="12" t="s">
        <v>183</v>
      </c>
      <c r="D219" s="25">
        <v>498.96</v>
      </c>
      <c r="E219" s="26">
        <f t="shared" si="86"/>
        <v>0</v>
      </c>
      <c r="F219" s="25">
        <v>498.96</v>
      </c>
      <c r="G219" s="12" t="s">
        <v>14</v>
      </c>
      <c r="H219" s="28">
        <f t="shared" si="96"/>
        <v>498.96</v>
      </c>
      <c r="I219" s="12" t="str">
        <f t="shared" si="97"/>
        <v>Stevens Esports</v>
      </c>
      <c r="J219" s="12"/>
      <c r="K219" s="18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5.4">
      <c r="A220" s="40"/>
      <c r="B220" s="12" t="s">
        <v>184</v>
      </c>
      <c r="C220" s="12" t="s">
        <v>26</v>
      </c>
      <c r="D220" s="25">
        <v>585.46</v>
      </c>
      <c r="E220" s="26">
        <f t="shared" si="86"/>
        <v>0</v>
      </c>
      <c r="F220" s="26">
        <v>585.46</v>
      </c>
      <c r="G220" s="12" t="s">
        <v>14</v>
      </c>
      <c r="H220" s="28">
        <f t="shared" si="96"/>
        <v>585.46</v>
      </c>
      <c r="I220" s="12" t="str">
        <f t="shared" si="97"/>
        <v>SWIB</v>
      </c>
      <c r="J220" s="12"/>
      <c r="K220" s="18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5.4">
      <c r="A221" s="40"/>
      <c r="B221" s="12"/>
      <c r="C221" s="12" t="s">
        <v>185</v>
      </c>
      <c r="D221" s="25">
        <v>225</v>
      </c>
      <c r="E221" s="26">
        <f>D221-F221</f>
        <v>0</v>
      </c>
      <c r="F221" s="26">
        <v>225</v>
      </c>
      <c r="G221" s="12" t="s">
        <v>14</v>
      </c>
      <c r="H221" s="28">
        <f>IF(G221="Approved",F221,0)</f>
        <v>225</v>
      </c>
      <c r="I221" s="12" t="str">
        <f>C221</f>
        <v>Mock Trial 1</v>
      </c>
      <c r="J221" s="12"/>
      <c r="K221" s="18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5.4">
      <c r="A222" s="40"/>
      <c r="B222" s="12"/>
      <c r="C222" s="12" t="s">
        <v>186</v>
      </c>
      <c r="D222" s="25">
        <v>143.93</v>
      </c>
      <c r="E222" s="26">
        <f>D222-F222</f>
        <v>-5.3700000000000045</v>
      </c>
      <c r="F222" s="26">
        <v>149.30000000000001</v>
      </c>
      <c r="G222" s="12" t="s">
        <v>14</v>
      </c>
      <c r="H222" s="28">
        <f>IF(G222="Approved",F222,0)</f>
        <v>149.30000000000001</v>
      </c>
      <c r="I222" s="12" t="str">
        <f>C222</f>
        <v>Mock Trial 2</v>
      </c>
      <c r="J222" s="12"/>
      <c r="K222" s="18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5.4">
      <c r="A223" s="40"/>
      <c r="B223" s="12"/>
      <c r="C223" s="12" t="s">
        <v>187</v>
      </c>
      <c r="D223" s="25">
        <v>225</v>
      </c>
      <c r="E223" s="26">
        <f>D223-F223</f>
        <v>0</v>
      </c>
      <c r="F223" s="25">
        <v>225</v>
      </c>
      <c r="G223" s="12" t="s">
        <v>14</v>
      </c>
      <c r="H223" s="28">
        <f>IF(G223="Approved",F223,0)</f>
        <v>225</v>
      </c>
      <c r="I223" s="12" t="str">
        <f>C223</f>
        <v>Stevens Furry Club</v>
      </c>
      <c r="J223" s="12"/>
      <c r="K223" s="18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5.4">
      <c r="A224" s="40"/>
      <c r="B224" s="12"/>
      <c r="C224" s="12" t="s">
        <v>188</v>
      </c>
      <c r="D224" s="25">
        <v>6.2</v>
      </c>
      <c r="E224" s="26">
        <f t="shared" ref="E224:E226" si="98">D224-F224</f>
        <v>0</v>
      </c>
      <c r="F224" s="26">
        <v>6.2</v>
      </c>
      <c r="G224" s="12" t="s">
        <v>14</v>
      </c>
      <c r="H224" s="28">
        <f t="shared" ref="H224:H226" si="99">IF(G224="Approved",F224,0)</f>
        <v>6.2</v>
      </c>
      <c r="I224" s="12" t="str">
        <f t="shared" ref="I224:I226" si="100">C224</f>
        <v>MENAA</v>
      </c>
      <c r="J224" s="12"/>
      <c r="K224" s="18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5.4">
      <c r="A225" s="40"/>
      <c r="B225" s="12"/>
      <c r="C225" s="12" t="s">
        <v>189</v>
      </c>
      <c r="D225" s="25">
        <v>12.98</v>
      </c>
      <c r="E225" s="26">
        <f t="shared" si="98"/>
        <v>0</v>
      </c>
      <c r="F225" s="25">
        <v>12.98</v>
      </c>
      <c r="G225" s="12" t="s">
        <v>14</v>
      </c>
      <c r="H225" s="28">
        <f t="shared" si="99"/>
        <v>12.98</v>
      </c>
      <c r="I225" s="12" t="str">
        <f t="shared" si="100"/>
        <v>Stevens Hellenic Society 1</v>
      </c>
      <c r="J225" s="12"/>
      <c r="K225" s="18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5.4">
      <c r="A226" s="40"/>
      <c r="B226" s="12"/>
      <c r="C226" s="12" t="s">
        <v>190</v>
      </c>
      <c r="D226" s="25">
        <v>112.5</v>
      </c>
      <c r="E226" s="26">
        <f t="shared" si="98"/>
        <v>0</v>
      </c>
      <c r="F226" s="25">
        <v>112.5</v>
      </c>
      <c r="G226" s="12" t="s">
        <v>14</v>
      </c>
      <c r="H226" s="28">
        <f t="shared" si="99"/>
        <v>112.5</v>
      </c>
      <c r="I226" s="12" t="str">
        <f t="shared" si="100"/>
        <v>Stevens Hellenic Society 2</v>
      </c>
      <c r="J226" s="12"/>
      <c r="K226" s="18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5.4">
      <c r="A227" s="40"/>
      <c r="B227" s="12"/>
      <c r="C227" s="12" t="s">
        <v>91</v>
      </c>
      <c r="D227" s="25">
        <v>2508.0300000000002</v>
      </c>
      <c r="E227" s="26">
        <f t="shared" si="86"/>
        <v>0</v>
      </c>
      <c r="F227" s="25">
        <v>2508.0300000000002</v>
      </c>
      <c r="G227" s="12" t="s">
        <v>14</v>
      </c>
      <c r="H227" s="28">
        <f t="shared" si="96"/>
        <v>2508.0300000000002</v>
      </c>
      <c r="I227" s="12" t="str">
        <f t="shared" si="97"/>
        <v>SGA 1</v>
      </c>
      <c r="J227" s="12"/>
      <c r="K227" s="18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5.4">
      <c r="A228" s="40"/>
      <c r="B228" s="12"/>
      <c r="C228" s="12" t="s">
        <v>92</v>
      </c>
      <c r="D228" s="25">
        <v>386.09</v>
      </c>
      <c r="E228" s="26">
        <f t="shared" si="86"/>
        <v>0</v>
      </c>
      <c r="F228" s="25">
        <v>386.09</v>
      </c>
      <c r="G228" s="12" t="s">
        <v>14</v>
      </c>
      <c r="H228" s="28">
        <f t="shared" ref="H228:H230" si="101">IF(G228="Approved",F228,0)</f>
        <v>386.09</v>
      </c>
      <c r="I228" s="12" t="str">
        <f t="shared" ref="I228:I230" si="102">C228</f>
        <v>SGA 2</v>
      </c>
      <c r="J228" s="12"/>
      <c r="K228" s="18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5.4">
      <c r="A229" s="40"/>
      <c r="B229" s="12"/>
      <c r="C229" s="12" t="s">
        <v>93</v>
      </c>
      <c r="D229" s="25">
        <v>228.2</v>
      </c>
      <c r="E229" s="26">
        <f t="shared" si="86"/>
        <v>0</v>
      </c>
      <c r="F229" s="25">
        <v>228.2</v>
      </c>
      <c r="G229" s="12" t="s">
        <v>14</v>
      </c>
      <c r="H229" s="28">
        <f t="shared" si="101"/>
        <v>228.2</v>
      </c>
      <c r="I229" s="12" t="str">
        <f t="shared" si="102"/>
        <v>SGA 3</v>
      </c>
      <c r="J229" s="12"/>
      <c r="K229" s="18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5.4">
      <c r="A230" s="40"/>
      <c r="B230" s="12"/>
      <c r="C230" s="12" t="s">
        <v>191</v>
      </c>
      <c r="D230" s="25">
        <v>484.23</v>
      </c>
      <c r="E230" s="26">
        <f t="shared" si="86"/>
        <v>0</v>
      </c>
      <c r="F230" s="25">
        <v>484.23</v>
      </c>
      <c r="G230" s="12" t="s">
        <v>14</v>
      </c>
      <c r="H230" s="28">
        <f t="shared" si="101"/>
        <v>484.23</v>
      </c>
      <c r="I230" s="12" t="str">
        <f t="shared" si="102"/>
        <v>SGA 4</v>
      </c>
      <c r="J230" s="12"/>
      <c r="K230" s="18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5.4">
      <c r="A231" s="40"/>
      <c r="B231" s="29"/>
      <c r="C231" s="29"/>
      <c r="D231" s="29"/>
      <c r="E231" s="29"/>
      <c r="F231" s="29"/>
      <c r="G231" s="29"/>
      <c r="H231" s="30">
        <f>SUM(H189:H230)</f>
        <v>13220.320000000002</v>
      </c>
      <c r="I231" s="29"/>
      <c r="J231" s="12"/>
      <c r="K231" s="18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5.4">
      <c r="A232" s="40"/>
      <c r="B232" s="23"/>
      <c r="C232" s="23"/>
      <c r="D232" s="23"/>
      <c r="E232" s="23"/>
      <c r="F232" s="23"/>
      <c r="G232" s="23"/>
      <c r="H232" s="23"/>
      <c r="I232" s="24">
        <f>I188-H231</f>
        <v>117116.46000000002</v>
      </c>
      <c r="J232" s="12"/>
      <c r="K232" s="18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5.4">
      <c r="A233" s="40"/>
      <c r="B233" s="12" t="s">
        <v>192</v>
      </c>
      <c r="C233" s="12" t="s">
        <v>55</v>
      </c>
      <c r="D233" s="25">
        <v>120</v>
      </c>
      <c r="E233" s="26">
        <f t="shared" ref="E233:E244" si="103">D233-F233</f>
        <v>0</v>
      </c>
      <c r="F233" s="25">
        <v>120</v>
      </c>
      <c r="G233" s="12" t="s">
        <v>14</v>
      </c>
      <c r="H233" s="25">
        <f t="shared" ref="H233:H245" si="104">IF(G233="Approved",F233,0)</f>
        <v>120</v>
      </c>
      <c r="I233" s="12" t="str">
        <f t="shared" ref="I233:I245" si="105">C233</f>
        <v>OStem</v>
      </c>
      <c r="J233" s="12"/>
      <c r="K233" s="18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5.4">
      <c r="A234" s="40"/>
      <c r="B234" s="12"/>
      <c r="C234" s="12" t="s">
        <v>55</v>
      </c>
      <c r="D234" s="25">
        <v>787.96</v>
      </c>
      <c r="E234" s="26">
        <f t="shared" si="103"/>
        <v>0</v>
      </c>
      <c r="F234" s="25">
        <v>787.96</v>
      </c>
      <c r="G234" s="12" t="s">
        <v>14</v>
      </c>
      <c r="H234" s="25">
        <f t="shared" si="104"/>
        <v>787.96</v>
      </c>
      <c r="I234" s="12" t="str">
        <f t="shared" si="105"/>
        <v>OStem</v>
      </c>
      <c r="J234" s="12"/>
      <c r="K234" s="18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5.4">
      <c r="A235" s="40"/>
      <c r="B235" s="12"/>
      <c r="C235" s="12" t="s">
        <v>116</v>
      </c>
      <c r="D235" s="25">
        <v>21.56</v>
      </c>
      <c r="E235" s="26">
        <f t="shared" si="103"/>
        <v>0</v>
      </c>
      <c r="F235" s="25">
        <v>21.56</v>
      </c>
      <c r="G235" s="12" t="s">
        <v>14</v>
      </c>
      <c r="H235" s="25">
        <f t="shared" si="104"/>
        <v>21.56</v>
      </c>
      <c r="I235" s="12" t="str">
        <f t="shared" si="105"/>
        <v>ColorStack 1</v>
      </c>
      <c r="J235" s="12"/>
      <c r="K235" s="18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5.4">
      <c r="A236" s="40"/>
      <c r="B236" s="12"/>
      <c r="C236" s="12" t="s">
        <v>117</v>
      </c>
      <c r="D236" s="25">
        <v>355</v>
      </c>
      <c r="E236" s="26">
        <f t="shared" si="103"/>
        <v>0</v>
      </c>
      <c r="F236" s="25">
        <v>355</v>
      </c>
      <c r="G236" s="12" t="s">
        <v>14</v>
      </c>
      <c r="H236" s="25">
        <f t="shared" si="104"/>
        <v>355</v>
      </c>
      <c r="I236" s="12" t="str">
        <f t="shared" si="105"/>
        <v>ColorStack 2</v>
      </c>
      <c r="J236" s="12"/>
      <c r="K236" s="18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5.4">
      <c r="A237" s="40"/>
      <c r="B237" s="12" t="s">
        <v>193</v>
      </c>
      <c r="C237" s="12" t="s">
        <v>155</v>
      </c>
      <c r="D237" s="25">
        <v>26</v>
      </c>
      <c r="E237" s="26">
        <f t="shared" si="103"/>
        <v>26</v>
      </c>
      <c r="F237" s="25">
        <v>0</v>
      </c>
      <c r="G237" s="12" t="s">
        <v>57</v>
      </c>
      <c r="H237" s="25">
        <f t="shared" si="104"/>
        <v>0</v>
      </c>
      <c r="I237" s="12" t="str">
        <f t="shared" si="105"/>
        <v>ColorStack 3</v>
      </c>
      <c r="J237" s="12"/>
      <c r="K237" s="18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5.4">
      <c r="A238" s="40"/>
      <c r="B238" s="12"/>
      <c r="C238" s="12" t="s">
        <v>194</v>
      </c>
      <c r="D238" s="25">
        <v>71.569999999999993</v>
      </c>
      <c r="E238" s="26">
        <f t="shared" si="103"/>
        <v>0</v>
      </c>
      <c r="F238" s="25">
        <v>71.569999999999993</v>
      </c>
      <c r="G238" s="12" t="s">
        <v>14</v>
      </c>
      <c r="H238" s="25">
        <f t="shared" si="104"/>
        <v>71.569999999999993</v>
      </c>
      <c r="I238" s="12" t="str">
        <f t="shared" si="105"/>
        <v>Software Engineering Club</v>
      </c>
      <c r="J238" s="12"/>
      <c r="K238" s="18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5.4">
      <c r="A239" s="40"/>
      <c r="B239" s="12"/>
      <c r="C239" s="12" t="s">
        <v>195</v>
      </c>
      <c r="D239" s="25">
        <v>676.52</v>
      </c>
      <c r="E239" s="26">
        <f t="shared" si="103"/>
        <v>633.75</v>
      </c>
      <c r="F239" s="25">
        <v>42.77</v>
      </c>
      <c r="G239" s="12" t="s">
        <v>14</v>
      </c>
      <c r="H239" s="25">
        <f t="shared" si="104"/>
        <v>42.77</v>
      </c>
      <c r="I239" s="12" t="str">
        <f t="shared" si="105"/>
        <v>Stevens Hellenic Society</v>
      </c>
      <c r="J239" s="12"/>
      <c r="K239" s="18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5.4">
      <c r="A240" s="40"/>
      <c r="B240" s="12"/>
      <c r="C240" s="12" t="s">
        <v>51</v>
      </c>
      <c r="D240" s="25">
        <v>100</v>
      </c>
      <c r="E240" s="26">
        <f t="shared" si="103"/>
        <v>0</v>
      </c>
      <c r="F240" s="25">
        <v>100</v>
      </c>
      <c r="G240" s="12" t="s">
        <v>14</v>
      </c>
      <c r="H240" s="25">
        <f t="shared" si="104"/>
        <v>100</v>
      </c>
      <c r="I240" s="12" t="str">
        <f t="shared" si="105"/>
        <v>ASCE</v>
      </c>
      <c r="J240" s="12"/>
      <c r="K240" s="18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5.4">
      <c r="A241" s="40"/>
      <c r="B241" s="12"/>
      <c r="C241" s="12" t="s">
        <v>82</v>
      </c>
      <c r="D241" s="25">
        <v>180</v>
      </c>
      <c r="E241" s="26">
        <f t="shared" si="103"/>
        <v>0</v>
      </c>
      <c r="F241" s="25">
        <v>180</v>
      </c>
      <c r="G241" s="12" t="s">
        <v>14</v>
      </c>
      <c r="H241" s="28">
        <f t="shared" si="104"/>
        <v>180</v>
      </c>
      <c r="I241" s="12" t="str">
        <f t="shared" si="105"/>
        <v>ALPFA</v>
      </c>
      <c r="J241" s="12"/>
      <c r="K241" s="18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5.4">
      <c r="A242" s="40"/>
      <c r="B242" s="12" t="s">
        <v>196</v>
      </c>
      <c r="C242" s="12" t="s">
        <v>197</v>
      </c>
      <c r="D242" s="25">
        <v>100</v>
      </c>
      <c r="E242" s="26">
        <f t="shared" si="103"/>
        <v>60</v>
      </c>
      <c r="F242" s="25">
        <v>40</v>
      </c>
      <c r="G242" s="12" t="s">
        <v>14</v>
      </c>
      <c r="H242" s="28">
        <f t="shared" si="104"/>
        <v>40</v>
      </c>
      <c r="I242" s="12" t="str">
        <f t="shared" si="105"/>
        <v>IEEE 1</v>
      </c>
      <c r="J242" s="12"/>
      <c r="K242" s="18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5.4">
      <c r="A243" s="40"/>
      <c r="B243" s="12"/>
      <c r="C243" s="12" t="s">
        <v>198</v>
      </c>
      <c r="D243" s="25">
        <v>100</v>
      </c>
      <c r="E243" s="26">
        <f t="shared" si="103"/>
        <v>100</v>
      </c>
      <c r="F243" s="25">
        <v>0</v>
      </c>
      <c r="G243" s="12" t="s">
        <v>57</v>
      </c>
      <c r="H243" s="28">
        <f t="shared" si="104"/>
        <v>0</v>
      </c>
      <c r="I243" s="12" t="str">
        <f t="shared" si="105"/>
        <v>IEEE 2</v>
      </c>
      <c r="J243" s="12"/>
      <c r="K243" s="18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5.4">
      <c r="A244" s="40"/>
      <c r="B244" s="12" t="s">
        <v>196</v>
      </c>
      <c r="C244" s="12" t="s">
        <v>165</v>
      </c>
      <c r="D244" s="25">
        <v>34.020000000000003</v>
      </c>
      <c r="E244" s="26">
        <f t="shared" si="103"/>
        <v>0</v>
      </c>
      <c r="F244" s="25">
        <v>34.020000000000003</v>
      </c>
      <c r="G244" s="12" t="s">
        <v>14</v>
      </c>
      <c r="H244" s="28">
        <f t="shared" si="104"/>
        <v>34.020000000000003</v>
      </c>
      <c r="I244" s="12" t="str">
        <f t="shared" si="105"/>
        <v>SCG</v>
      </c>
      <c r="J244" s="12"/>
      <c r="K244" s="18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5.4">
      <c r="A245" s="40"/>
      <c r="B245" s="12"/>
      <c r="C245" s="12" t="s">
        <v>199</v>
      </c>
      <c r="D245" s="25">
        <v>897.85</v>
      </c>
      <c r="E245" s="26">
        <f>D245-F245</f>
        <v>0</v>
      </c>
      <c r="F245" s="25">
        <v>897.85</v>
      </c>
      <c r="G245" s="12" t="s">
        <v>14</v>
      </c>
      <c r="H245" s="28">
        <f t="shared" si="104"/>
        <v>897.85</v>
      </c>
      <c r="I245" s="12" t="str">
        <f t="shared" si="105"/>
        <v>JSA</v>
      </c>
      <c r="J245" s="12"/>
      <c r="K245" s="18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5.4">
      <c r="A246" s="40"/>
      <c r="B246" s="12"/>
      <c r="C246" s="12" t="s">
        <v>27</v>
      </c>
      <c r="D246" s="25">
        <v>10</v>
      </c>
      <c r="E246" s="26">
        <f t="shared" ref="E246:F265" si="106">D246-F246</f>
        <v>0</v>
      </c>
      <c r="F246" s="25">
        <v>10</v>
      </c>
      <c r="G246" s="12" t="s">
        <v>14</v>
      </c>
      <c r="H246" s="28">
        <f t="shared" ref="H246:H249" si="107">IF(G246="Approved",F246,0)</f>
        <v>10</v>
      </c>
      <c r="I246" s="12" t="str">
        <f t="shared" ref="I246:I249" si="108">C246</f>
        <v>INCOSE</v>
      </c>
      <c r="J246" s="12"/>
      <c r="K246" s="18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5.4">
      <c r="A247" s="40"/>
      <c r="B247" s="12"/>
      <c r="C247" s="12" t="s">
        <v>59</v>
      </c>
      <c r="D247" s="25">
        <v>2947</v>
      </c>
      <c r="E247" s="26">
        <f t="shared" si="106"/>
        <v>0</v>
      </c>
      <c r="F247" s="25">
        <v>2947</v>
      </c>
      <c r="G247" s="12" t="s">
        <v>14</v>
      </c>
      <c r="H247" s="28">
        <f t="shared" si="107"/>
        <v>2947</v>
      </c>
      <c r="I247" s="12" t="str">
        <f t="shared" si="108"/>
        <v>StevensTHON</v>
      </c>
      <c r="J247" s="12"/>
      <c r="K247" s="18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5.4">
      <c r="A248" s="40"/>
      <c r="B248" s="12"/>
      <c r="C248" s="12" t="s">
        <v>200</v>
      </c>
      <c r="D248" s="25">
        <v>100</v>
      </c>
      <c r="E248" s="26">
        <f t="shared" si="106"/>
        <v>0</v>
      </c>
      <c r="F248" s="25">
        <v>100</v>
      </c>
      <c r="G248" s="12" t="s">
        <v>14</v>
      </c>
      <c r="H248" s="28">
        <f t="shared" si="107"/>
        <v>100</v>
      </c>
      <c r="I248" s="12" t="str">
        <f t="shared" si="108"/>
        <v>EmpowerHer 1</v>
      </c>
      <c r="J248" s="12"/>
      <c r="K248" s="18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5.4">
      <c r="A249" s="40"/>
      <c r="B249" s="12"/>
      <c r="C249" s="12" t="s">
        <v>201</v>
      </c>
      <c r="D249" s="25">
        <v>175</v>
      </c>
      <c r="E249" s="26">
        <f t="shared" si="106"/>
        <v>10</v>
      </c>
      <c r="F249" s="25">
        <v>165</v>
      </c>
      <c r="G249" s="12" t="s">
        <v>14</v>
      </c>
      <c r="H249" s="28">
        <f t="shared" si="107"/>
        <v>165</v>
      </c>
      <c r="I249" s="12" t="str">
        <f t="shared" si="108"/>
        <v>EmpowerHer 2</v>
      </c>
      <c r="J249" s="12"/>
      <c r="K249" s="18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5.4">
      <c r="A250" s="40"/>
      <c r="B250" s="12"/>
      <c r="C250" s="12" t="s">
        <v>202</v>
      </c>
      <c r="D250" s="25">
        <v>33</v>
      </c>
      <c r="E250" s="26">
        <f t="shared" si="106"/>
        <v>33</v>
      </c>
      <c r="F250" s="25">
        <v>0</v>
      </c>
      <c r="G250" s="12" t="s">
        <v>57</v>
      </c>
      <c r="H250" s="28">
        <f t="shared" ref="H250:H256" si="109">IF(G250="Approved",F250,0)</f>
        <v>0</v>
      </c>
      <c r="I250" s="12" t="str">
        <f t="shared" ref="I250:I256" si="110">C250</f>
        <v>EmpowerHer 3</v>
      </c>
      <c r="J250" s="12"/>
      <c r="K250" s="18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5.4">
      <c r="A251" s="40"/>
      <c r="B251" s="12"/>
      <c r="C251" s="12" t="s">
        <v>134</v>
      </c>
      <c r="D251" s="25">
        <v>120</v>
      </c>
      <c r="E251" s="26">
        <f t="shared" si="106"/>
        <v>0</v>
      </c>
      <c r="F251" s="25">
        <v>120</v>
      </c>
      <c r="G251" s="12" t="s">
        <v>14</v>
      </c>
      <c r="H251" s="28">
        <f t="shared" si="109"/>
        <v>120</v>
      </c>
      <c r="I251" s="12" t="str">
        <f t="shared" si="110"/>
        <v>SWE</v>
      </c>
      <c r="J251" s="12"/>
      <c r="K251" s="18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5.4">
      <c r="A252" s="40"/>
      <c r="B252" s="12"/>
      <c r="C252" s="12" t="s">
        <v>45</v>
      </c>
      <c r="D252" s="25">
        <v>100</v>
      </c>
      <c r="E252" s="26">
        <f t="shared" si="106"/>
        <v>100</v>
      </c>
      <c r="F252" s="25">
        <v>0</v>
      </c>
      <c r="G252" s="12" t="s">
        <v>57</v>
      </c>
      <c r="H252" s="28">
        <f t="shared" si="109"/>
        <v>0</v>
      </c>
      <c r="I252" s="12" t="str">
        <f t="shared" si="110"/>
        <v>Amnesty</v>
      </c>
      <c r="J252" s="12"/>
      <c r="K252" s="18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5.4">
      <c r="A253" s="40"/>
      <c r="B253" s="12"/>
      <c r="C253" s="12" t="s">
        <v>203</v>
      </c>
      <c r="D253" s="25">
        <v>107</v>
      </c>
      <c r="E253" s="26">
        <f t="shared" si="106"/>
        <v>0</v>
      </c>
      <c r="F253" s="25">
        <v>107</v>
      </c>
      <c r="G253" s="12" t="s">
        <v>14</v>
      </c>
      <c r="H253" s="28">
        <f t="shared" si="109"/>
        <v>107</v>
      </c>
      <c r="I253" s="12" t="str">
        <f t="shared" si="110"/>
        <v>Stevens Health Professionals</v>
      </c>
      <c r="J253" s="12"/>
      <c r="K253" s="18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5.4">
      <c r="A254" s="40"/>
      <c r="B254" s="12"/>
      <c r="C254" s="12" t="s">
        <v>204</v>
      </c>
      <c r="D254" s="25">
        <v>18</v>
      </c>
      <c r="E254" s="26">
        <f t="shared" si="106"/>
        <v>18</v>
      </c>
      <c r="F254" s="25">
        <v>0</v>
      </c>
      <c r="G254" s="12" t="s">
        <v>57</v>
      </c>
      <c r="H254" s="28">
        <f t="shared" si="109"/>
        <v>0</v>
      </c>
      <c r="I254" s="12" t="str">
        <f t="shared" si="110"/>
        <v>SWIC's</v>
      </c>
      <c r="J254" s="12"/>
      <c r="K254" s="18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5.4">
      <c r="A255" s="40"/>
      <c r="B255" s="12"/>
      <c r="C255" s="12" t="s">
        <v>205</v>
      </c>
      <c r="D255" s="25">
        <v>57.71</v>
      </c>
      <c r="E255" s="26">
        <f t="shared" ca="1" si="106"/>
        <v>57.71</v>
      </c>
      <c r="F255" s="26">
        <f t="shared" ca="1" si="106"/>
        <v>57.71</v>
      </c>
      <c r="G255" s="12" t="s">
        <v>14</v>
      </c>
      <c r="H255" s="28">
        <f t="shared" ca="1" si="109"/>
        <v>0</v>
      </c>
      <c r="I255" s="12" t="str">
        <f t="shared" si="110"/>
        <v>ACS</v>
      </c>
      <c r="J255" s="12"/>
      <c r="K255" s="18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5.4">
      <c r="A256" s="40"/>
      <c r="B256" s="12" t="s">
        <v>196</v>
      </c>
      <c r="C256" s="12" t="s">
        <v>18</v>
      </c>
      <c r="D256" s="25">
        <v>100</v>
      </c>
      <c r="E256" s="26">
        <f t="shared" si="106"/>
        <v>0</v>
      </c>
      <c r="F256" s="25">
        <v>100</v>
      </c>
      <c r="G256" s="12" t="s">
        <v>14</v>
      </c>
      <c r="H256" s="28">
        <f t="shared" si="109"/>
        <v>100</v>
      </c>
      <c r="I256" s="12" t="str">
        <f t="shared" si="110"/>
        <v>Hillel</v>
      </c>
      <c r="J256" s="12"/>
      <c r="K256" s="18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5.4">
      <c r="A257" s="40"/>
      <c r="B257" s="12"/>
      <c r="C257" s="12" t="s">
        <v>206</v>
      </c>
      <c r="D257" s="25">
        <v>100</v>
      </c>
      <c r="E257" s="26">
        <f t="shared" si="106"/>
        <v>0</v>
      </c>
      <c r="F257" s="25">
        <v>100</v>
      </c>
      <c r="G257" s="12" t="s">
        <v>14</v>
      </c>
      <c r="H257" s="28">
        <f t="shared" ref="H257:H261" si="111">IF(G257="Approved",F257,0)</f>
        <v>100</v>
      </c>
      <c r="I257" s="12" t="str">
        <f t="shared" ref="I257:I261" si="112">C257</f>
        <v>American Nuclear Soceity</v>
      </c>
      <c r="J257" s="12"/>
      <c r="K257" s="18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5.4">
      <c r="A258" s="40"/>
      <c r="B258" s="12"/>
      <c r="C258" s="12" t="s">
        <v>86</v>
      </c>
      <c r="D258" s="25">
        <v>189.26</v>
      </c>
      <c r="E258" s="26">
        <f t="shared" si="106"/>
        <v>0</v>
      </c>
      <c r="F258" s="25">
        <v>189.26</v>
      </c>
      <c r="G258" s="12" t="s">
        <v>14</v>
      </c>
      <c r="H258" s="28">
        <f t="shared" si="111"/>
        <v>189.26</v>
      </c>
      <c r="I258" s="12" t="str">
        <f t="shared" si="112"/>
        <v>Stevens Esports 1</v>
      </c>
      <c r="J258" s="12"/>
      <c r="K258" s="18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5.4">
      <c r="A259" s="40"/>
      <c r="B259" s="12"/>
      <c r="C259" s="12" t="s">
        <v>207</v>
      </c>
      <c r="D259" s="25">
        <v>729.31</v>
      </c>
      <c r="E259" s="26">
        <f t="shared" si="106"/>
        <v>0</v>
      </c>
      <c r="F259" s="25">
        <v>729.31</v>
      </c>
      <c r="G259" s="12" t="s">
        <v>14</v>
      </c>
      <c r="H259" s="28">
        <f t="shared" si="111"/>
        <v>729.31</v>
      </c>
      <c r="I259" s="12" t="str">
        <f t="shared" si="112"/>
        <v>Stevens Esports2</v>
      </c>
      <c r="J259" s="12"/>
      <c r="K259" s="18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5.4">
      <c r="A260" s="40"/>
      <c r="B260" s="12" t="s">
        <v>196</v>
      </c>
      <c r="C260" s="12" t="s">
        <v>19</v>
      </c>
      <c r="D260" s="25">
        <v>774.27</v>
      </c>
      <c r="E260" s="26">
        <f t="shared" si="106"/>
        <v>0</v>
      </c>
      <c r="F260" s="25">
        <v>774.27</v>
      </c>
      <c r="G260" s="12" t="s">
        <v>14</v>
      </c>
      <c r="H260" s="28">
        <f t="shared" si="111"/>
        <v>774.27</v>
      </c>
      <c r="I260" s="12" t="str">
        <f t="shared" si="112"/>
        <v>SHPE</v>
      </c>
      <c r="J260" s="12"/>
      <c r="K260" s="18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5.4">
      <c r="A261" s="40"/>
      <c r="B261" s="12"/>
      <c r="C261" s="12"/>
      <c r="D261" s="25"/>
      <c r="E261" s="26">
        <f t="shared" si="106"/>
        <v>0</v>
      </c>
      <c r="F261" s="25"/>
      <c r="G261" s="12"/>
      <c r="H261" s="28">
        <f t="shared" si="111"/>
        <v>0</v>
      </c>
      <c r="I261" s="12">
        <f t="shared" si="112"/>
        <v>0</v>
      </c>
      <c r="J261" s="12"/>
      <c r="K261" s="18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5.4">
      <c r="A262" s="40"/>
      <c r="B262" s="12"/>
      <c r="C262" s="12"/>
      <c r="D262" s="25"/>
      <c r="E262" s="26">
        <f t="shared" si="106"/>
        <v>0</v>
      </c>
      <c r="F262" s="25"/>
      <c r="G262" s="12"/>
      <c r="H262" s="28">
        <f t="shared" ref="H262:H265" si="113">IF(G262="Approved",F262,0)</f>
        <v>0</v>
      </c>
      <c r="I262" s="12">
        <f t="shared" ref="I262:I265" si="114">C262</f>
        <v>0</v>
      </c>
      <c r="J262" s="12"/>
      <c r="K262" s="18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5.4">
      <c r="A263" s="40"/>
      <c r="B263" s="12"/>
      <c r="C263" s="12"/>
      <c r="D263" s="25"/>
      <c r="E263" s="26">
        <f t="shared" si="106"/>
        <v>0</v>
      </c>
      <c r="F263" s="25"/>
      <c r="G263" s="12"/>
      <c r="H263" s="28">
        <f t="shared" si="113"/>
        <v>0</v>
      </c>
      <c r="I263" s="12">
        <f t="shared" si="114"/>
        <v>0</v>
      </c>
      <c r="J263" s="12"/>
      <c r="K263" s="18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5.4">
      <c r="A264" s="40"/>
      <c r="B264" s="12"/>
      <c r="C264" s="12"/>
      <c r="D264" s="25"/>
      <c r="E264" s="26">
        <f t="shared" si="106"/>
        <v>0</v>
      </c>
      <c r="F264" s="25"/>
      <c r="G264" s="12"/>
      <c r="H264" s="28">
        <f t="shared" si="113"/>
        <v>0</v>
      </c>
      <c r="I264" s="12">
        <f t="shared" si="114"/>
        <v>0</v>
      </c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5.4">
      <c r="A265" s="40"/>
      <c r="B265" s="12"/>
      <c r="C265" s="12"/>
      <c r="D265" s="25"/>
      <c r="E265" s="26">
        <f t="shared" si="106"/>
        <v>0</v>
      </c>
      <c r="F265" s="25"/>
      <c r="G265" s="12"/>
      <c r="H265" s="28">
        <f t="shared" si="113"/>
        <v>0</v>
      </c>
      <c r="I265" s="12">
        <f t="shared" si="114"/>
        <v>0</v>
      </c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5.4">
      <c r="A266" s="40"/>
      <c r="B266" s="29"/>
      <c r="C266" s="29"/>
      <c r="D266" s="29"/>
      <c r="E266" s="29"/>
      <c r="F266" s="29"/>
      <c r="G266" s="29"/>
      <c r="H266" s="30">
        <f ca="1">SUM(H233:H260)</f>
        <v>8018.57</v>
      </c>
      <c r="I266" s="29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5.4">
      <c r="A267" s="40"/>
      <c r="B267" s="23"/>
      <c r="C267" s="23"/>
      <c r="D267" s="23"/>
      <c r="E267" s="23"/>
      <c r="F267" s="23"/>
      <c r="G267" s="23"/>
      <c r="H267" s="23"/>
      <c r="I267" s="24">
        <f ca="1">I232-H266</f>
        <v>109097.88999999996</v>
      </c>
      <c r="J267" s="12"/>
      <c r="K267" s="18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5.4">
      <c r="A268" s="40"/>
      <c r="B268" s="12"/>
      <c r="C268" s="12" t="s">
        <v>55</v>
      </c>
      <c r="D268" s="25">
        <v>100</v>
      </c>
      <c r="E268" s="26">
        <f t="shared" ref="E268:E279" si="115">D268-F268</f>
        <v>100</v>
      </c>
      <c r="F268" s="25"/>
      <c r="G268" s="12" t="s">
        <v>57</v>
      </c>
      <c r="H268" s="25">
        <f t="shared" ref="H268:H280" si="116">IF(G268="Approved",F268,0)</f>
        <v>0</v>
      </c>
      <c r="I268" s="12" t="str">
        <f t="shared" ref="I268:I280" si="117">C268</f>
        <v>OStem</v>
      </c>
      <c r="J268" s="12"/>
      <c r="K268" s="18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5.4">
      <c r="A269" s="40"/>
      <c r="B269" s="12"/>
      <c r="C269" s="12" t="s">
        <v>27</v>
      </c>
      <c r="D269" s="25">
        <v>107.24</v>
      </c>
      <c r="E269" s="26">
        <f t="shared" si="115"/>
        <v>17.5</v>
      </c>
      <c r="F269" s="25">
        <v>89.74</v>
      </c>
      <c r="G269" s="12" t="s">
        <v>14</v>
      </c>
      <c r="H269" s="25">
        <f t="shared" si="116"/>
        <v>89.74</v>
      </c>
      <c r="I269" s="12" t="str">
        <f t="shared" si="117"/>
        <v>INCOSE</v>
      </c>
      <c r="J269" s="12"/>
      <c r="K269" s="18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5.4">
      <c r="A270" s="40"/>
      <c r="B270" s="12" t="s">
        <v>208</v>
      </c>
      <c r="C270" s="12" t="s">
        <v>209</v>
      </c>
      <c r="D270" s="25">
        <v>250</v>
      </c>
      <c r="E270" s="26">
        <f t="shared" si="115"/>
        <v>250</v>
      </c>
      <c r="F270" s="25">
        <v>0</v>
      </c>
      <c r="G270" s="12" t="s">
        <v>57</v>
      </c>
      <c r="H270" s="25">
        <f t="shared" si="116"/>
        <v>0</v>
      </c>
      <c r="I270" s="12" t="str">
        <f t="shared" si="117"/>
        <v>ALPFA 1</v>
      </c>
      <c r="J270" s="12"/>
      <c r="K270" s="18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5.4">
      <c r="A271" s="40"/>
      <c r="B271" s="12"/>
      <c r="C271" s="12" t="s">
        <v>210</v>
      </c>
      <c r="D271" s="25">
        <v>25</v>
      </c>
      <c r="E271" s="26">
        <f t="shared" si="115"/>
        <v>25</v>
      </c>
      <c r="F271" s="25">
        <v>0</v>
      </c>
      <c r="G271" s="12" t="s">
        <v>57</v>
      </c>
      <c r="H271" s="25">
        <f t="shared" si="116"/>
        <v>0</v>
      </c>
      <c r="I271" s="12" t="str">
        <f t="shared" si="117"/>
        <v>ColorStack</v>
      </c>
      <c r="J271" s="12"/>
      <c r="K271" s="18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5.4">
      <c r="A272" s="40"/>
      <c r="B272" s="12"/>
      <c r="C272" s="12" t="s">
        <v>185</v>
      </c>
      <c r="D272" s="25">
        <v>35.18</v>
      </c>
      <c r="E272" s="26">
        <f t="shared" si="115"/>
        <v>0</v>
      </c>
      <c r="F272" s="25">
        <v>35.18</v>
      </c>
      <c r="G272" s="12" t="s">
        <v>14</v>
      </c>
      <c r="H272" s="25">
        <f t="shared" si="116"/>
        <v>35.18</v>
      </c>
      <c r="I272" s="12" t="str">
        <f t="shared" si="117"/>
        <v>Mock Trial 1</v>
      </c>
      <c r="J272" s="12"/>
      <c r="K272" s="18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5.4">
      <c r="A273" s="40"/>
      <c r="B273" s="12"/>
      <c r="C273" s="12" t="s">
        <v>186</v>
      </c>
      <c r="D273" s="25">
        <v>249.11</v>
      </c>
      <c r="E273" s="26">
        <f t="shared" si="115"/>
        <v>0</v>
      </c>
      <c r="F273" s="25">
        <v>249.11</v>
      </c>
      <c r="G273" s="12" t="s">
        <v>14</v>
      </c>
      <c r="H273" s="25">
        <f t="shared" si="116"/>
        <v>249.11</v>
      </c>
      <c r="I273" s="12" t="str">
        <f t="shared" si="117"/>
        <v>Mock Trial 2</v>
      </c>
      <c r="J273" s="12"/>
      <c r="K273" s="18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5.4">
      <c r="A274" s="40"/>
      <c r="B274" s="12"/>
      <c r="C274" s="12" t="s">
        <v>32</v>
      </c>
      <c r="D274" s="25">
        <v>86.98</v>
      </c>
      <c r="E274" s="26">
        <f t="shared" si="115"/>
        <v>0</v>
      </c>
      <c r="F274" s="25">
        <v>86.98</v>
      </c>
      <c r="G274" s="12" t="s">
        <v>14</v>
      </c>
      <c r="H274" s="25">
        <f t="shared" si="116"/>
        <v>86.98</v>
      </c>
      <c r="I274" s="12" t="str">
        <f t="shared" si="117"/>
        <v>Stevens Signs</v>
      </c>
      <c r="J274" s="12"/>
      <c r="K274" s="18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5.4">
      <c r="A275" s="40"/>
      <c r="B275" s="12"/>
      <c r="C275" s="12" t="s">
        <v>211</v>
      </c>
      <c r="D275" s="25">
        <v>99.7</v>
      </c>
      <c r="E275" s="26">
        <f t="shared" si="115"/>
        <v>0</v>
      </c>
      <c r="F275" s="25">
        <v>99.7</v>
      </c>
      <c r="G275" s="12" t="s">
        <v>14</v>
      </c>
      <c r="H275" s="25">
        <f t="shared" si="116"/>
        <v>99.7</v>
      </c>
      <c r="I275" s="12" t="str">
        <f t="shared" si="117"/>
        <v>MSA 1</v>
      </c>
      <c r="J275" s="12"/>
      <c r="K275" s="18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5.4">
      <c r="A276" s="40"/>
      <c r="B276" s="12"/>
      <c r="C276" s="12" t="s">
        <v>212</v>
      </c>
      <c r="D276" s="25">
        <v>239.9</v>
      </c>
      <c r="E276" s="26">
        <f t="shared" si="115"/>
        <v>0</v>
      </c>
      <c r="F276" s="25">
        <v>239.9</v>
      </c>
      <c r="G276" s="12" t="s">
        <v>14</v>
      </c>
      <c r="H276" s="25">
        <f t="shared" si="116"/>
        <v>239.9</v>
      </c>
      <c r="I276" s="12" t="str">
        <f t="shared" si="117"/>
        <v>MSA 2</v>
      </c>
      <c r="J276" s="12"/>
      <c r="K276" s="18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5.4">
      <c r="A277" s="40"/>
      <c r="B277" s="12"/>
      <c r="C277" s="12" t="s">
        <v>213</v>
      </c>
      <c r="D277" s="25">
        <v>81.599999999999994</v>
      </c>
      <c r="E277" s="26">
        <f t="shared" si="115"/>
        <v>0</v>
      </c>
      <c r="F277" s="25">
        <v>81.599999999999994</v>
      </c>
      <c r="G277" s="12" t="s">
        <v>14</v>
      </c>
      <c r="H277" s="25">
        <f t="shared" si="116"/>
        <v>81.599999999999994</v>
      </c>
      <c r="I277" s="12" t="str">
        <f t="shared" si="117"/>
        <v>MSA 3</v>
      </c>
      <c r="J277" s="12"/>
      <c r="K277" s="18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5.4">
      <c r="A278" s="40"/>
      <c r="B278" s="12" t="s">
        <v>214</v>
      </c>
      <c r="C278" s="12" t="s">
        <v>139</v>
      </c>
      <c r="D278" s="25">
        <v>4.51</v>
      </c>
      <c r="E278" s="26">
        <f t="shared" si="115"/>
        <v>0</v>
      </c>
      <c r="F278" s="25">
        <v>4.51</v>
      </c>
      <c r="G278" s="12" t="s">
        <v>14</v>
      </c>
      <c r="H278" s="25">
        <f t="shared" si="116"/>
        <v>4.51</v>
      </c>
      <c r="I278" s="12" t="str">
        <f t="shared" si="117"/>
        <v>Poker</v>
      </c>
      <c r="J278" s="12"/>
      <c r="K278" s="18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.4">
      <c r="A279" s="40"/>
      <c r="B279" s="12"/>
      <c r="C279" s="12" t="s">
        <v>215</v>
      </c>
      <c r="D279" s="25">
        <v>42.59</v>
      </c>
      <c r="E279" s="26">
        <f t="shared" si="115"/>
        <v>0</v>
      </c>
      <c r="F279" s="25">
        <v>42.59</v>
      </c>
      <c r="G279" s="12" t="s">
        <v>14</v>
      </c>
      <c r="H279" s="25">
        <f t="shared" si="116"/>
        <v>42.59</v>
      </c>
      <c r="I279" s="12" t="str">
        <f t="shared" si="117"/>
        <v>SSAI</v>
      </c>
      <c r="J279" s="12"/>
      <c r="K279" s="18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5.4">
      <c r="A280" s="40"/>
      <c r="B280" s="12"/>
      <c r="C280" s="12" t="s">
        <v>148</v>
      </c>
      <c r="D280" s="25">
        <v>798.6</v>
      </c>
      <c r="E280" s="26">
        <f>D280-F280</f>
        <v>0</v>
      </c>
      <c r="F280" s="25">
        <v>798.6</v>
      </c>
      <c r="G280" s="12" t="s">
        <v>14</v>
      </c>
      <c r="H280" s="25">
        <f t="shared" si="116"/>
        <v>798.6</v>
      </c>
      <c r="I280" s="12" t="str">
        <f t="shared" si="117"/>
        <v>SASE 1</v>
      </c>
      <c r="J280" s="12"/>
      <c r="K280" s="18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5.4">
      <c r="A281" s="40"/>
      <c r="B281" s="12"/>
      <c r="C281" s="12" t="s">
        <v>149</v>
      </c>
      <c r="D281" s="25">
        <v>100</v>
      </c>
      <c r="E281" s="26">
        <f t="shared" ref="E281:E294" si="118">D281-F281</f>
        <v>0</v>
      </c>
      <c r="F281" s="25">
        <v>100</v>
      </c>
      <c r="G281" s="12" t="s">
        <v>14</v>
      </c>
      <c r="H281" s="25">
        <f t="shared" ref="H281:H290" si="119">IF(G281="Approved",F281,0)</f>
        <v>100</v>
      </c>
      <c r="I281" s="12" t="str">
        <f t="shared" ref="I281:I290" si="120">C281</f>
        <v>SASE 2</v>
      </c>
      <c r="J281" s="12"/>
      <c r="K281" s="18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5.4">
      <c r="A282" s="40"/>
      <c r="B282" s="12"/>
      <c r="C282" s="12" t="s">
        <v>216</v>
      </c>
      <c r="D282" s="25">
        <v>1279.97</v>
      </c>
      <c r="E282" s="26">
        <f t="shared" si="118"/>
        <v>0</v>
      </c>
      <c r="F282" s="25">
        <v>1279.97</v>
      </c>
      <c r="G282" s="12" t="s">
        <v>14</v>
      </c>
      <c r="H282" s="25">
        <f t="shared" si="119"/>
        <v>1279.97</v>
      </c>
      <c r="I282" s="12" t="str">
        <f t="shared" si="120"/>
        <v>CSA</v>
      </c>
      <c r="J282" s="12"/>
      <c r="K282" s="18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5.4">
      <c r="A283" s="40"/>
      <c r="B283" s="12"/>
      <c r="C283" s="12" t="s">
        <v>75</v>
      </c>
      <c r="D283" s="25">
        <v>288.5</v>
      </c>
      <c r="E283" s="26">
        <f t="shared" si="118"/>
        <v>0</v>
      </c>
      <c r="F283" s="25">
        <v>288.5</v>
      </c>
      <c r="G283" s="12" t="s">
        <v>14</v>
      </c>
      <c r="H283" s="25">
        <f t="shared" si="119"/>
        <v>288.5</v>
      </c>
      <c r="I283" s="12" t="str">
        <f t="shared" si="120"/>
        <v>Stevens Christian Fellowship</v>
      </c>
      <c r="J283" s="12"/>
      <c r="K283" s="18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5.4">
      <c r="A284" s="40"/>
      <c r="B284" s="12"/>
      <c r="C284" s="12" t="s">
        <v>217</v>
      </c>
      <c r="D284" s="25">
        <v>18</v>
      </c>
      <c r="E284" s="26">
        <f t="shared" si="118"/>
        <v>0</v>
      </c>
      <c r="F284" s="25">
        <v>18</v>
      </c>
      <c r="G284" s="12" t="s">
        <v>14</v>
      </c>
      <c r="H284" s="25">
        <f t="shared" si="119"/>
        <v>18</v>
      </c>
      <c r="I284" s="12" t="str">
        <f t="shared" si="120"/>
        <v>SWICS</v>
      </c>
      <c r="J284" s="12"/>
      <c r="K284" s="18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5.4">
      <c r="A285" s="40"/>
      <c r="B285" s="12"/>
      <c r="C285" s="12" t="s">
        <v>81</v>
      </c>
      <c r="D285" s="25">
        <v>375</v>
      </c>
      <c r="E285" s="26">
        <f t="shared" si="118"/>
        <v>277.29000000000002</v>
      </c>
      <c r="F285" s="25">
        <v>97.71</v>
      </c>
      <c r="G285" s="12" t="s">
        <v>14</v>
      </c>
      <c r="H285" s="25">
        <f t="shared" si="119"/>
        <v>97.71</v>
      </c>
      <c r="I285" s="12" t="str">
        <f t="shared" si="120"/>
        <v>NSBE</v>
      </c>
      <c r="J285" s="12"/>
      <c r="K285" s="18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5.4">
      <c r="A286" s="40"/>
      <c r="B286" s="12"/>
      <c r="C286" s="12" t="s">
        <v>19</v>
      </c>
      <c r="D286" s="25">
        <v>8113.35</v>
      </c>
      <c r="E286" s="26">
        <f t="shared" si="118"/>
        <v>8113.35</v>
      </c>
      <c r="F286" s="25">
        <v>0</v>
      </c>
      <c r="G286" s="12" t="s">
        <v>57</v>
      </c>
      <c r="H286" s="25">
        <f t="shared" si="119"/>
        <v>0</v>
      </c>
      <c r="I286" s="12" t="str">
        <f t="shared" si="120"/>
        <v>SHPE</v>
      </c>
      <c r="J286" s="12"/>
      <c r="K286" s="18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5.4">
      <c r="A287" s="40"/>
      <c r="B287" s="12"/>
      <c r="C287" s="12" t="s">
        <v>218</v>
      </c>
      <c r="D287" s="25">
        <v>100</v>
      </c>
      <c r="E287" s="26">
        <f t="shared" si="118"/>
        <v>0</v>
      </c>
      <c r="F287" s="25">
        <v>100</v>
      </c>
      <c r="G287" s="12" t="s">
        <v>14</v>
      </c>
      <c r="H287" s="25">
        <f t="shared" si="119"/>
        <v>100</v>
      </c>
      <c r="I287" s="12" t="str">
        <f t="shared" si="120"/>
        <v>Off Center</v>
      </c>
      <c r="J287" s="12"/>
      <c r="K287" s="18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5.4">
      <c r="A288" s="40"/>
      <c r="B288" s="12"/>
      <c r="C288" s="12" t="s">
        <v>46</v>
      </c>
      <c r="D288" s="25">
        <v>500</v>
      </c>
      <c r="E288" s="26">
        <f t="shared" si="118"/>
        <v>0</v>
      </c>
      <c r="F288" s="25">
        <v>500</v>
      </c>
      <c r="G288" s="12" t="s">
        <v>14</v>
      </c>
      <c r="H288" s="25">
        <f t="shared" si="119"/>
        <v>500</v>
      </c>
      <c r="I288" s="12" t="str">
        <f t="shared" si="120"/>
        <v>SDS 1</v>
      </c>
      <c r="J288" s="12"/>
      <c r="K288" s="18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5.4">
      <c r="A289" s="40"/>
      <c r="B289" s="12" t="s">
        <v>214</v>
      </c>
      <c r="C289" s="12" t="s">
        <v>47</v>
      </c>
      <c r="D289" s="25">
        <v>95</v>
      </c>
      <c r="E289" s="26">
        <f t="shared" si="118"/>
        <v>95</v>
      </c>
      <c r="F289" s="25"/>
      <c r="G289" s="12"/>
      <c r="H289" s="25">
        <f t="shared" si="119"/>
        <v>0</v>
      </c>
      <c r="I289" s="12" t="str">
        <f t="shared" si="120"/>
        <v>SDS 2</v>
      </c>
      <c r="J289" s="12"/>
      <c r="K289" s="18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5.4">
      <c r="A290" s="40"/>
      <c r="B290" s="12"/>
      <c r="C290" s="12" t="s">
        <v>219</v>
      </c>
      <c r="D290" s="25">
        <v>522.87</v>
      </c>
      <c r="E290" s="26">
        <f>D290-F290</f>
        <v>0</v>
      </c>
      <c r="F290" s="25">
        <v>522.87</v>
      </c>
      <c r="G290" s="12" t="s">
        <v>14</v>
      </c>
      <c r="H290" s="25">
        <f t="shared" si="119"/>
        <v>522.87</v>
      </c>
      <c r="I290" s="12" t="str">
        <f t="shared" si="120"/>
        <v>Computer Science Club 1</v>
      </c>
      <c r="J290" s="12"/>
      <c r="K290" s="18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5.4">
      <c r="A291" s="40"/>
      <c r="B291" s="12"/>
      <c r="C291" s="12" t="s">
        <v>220</v>
      </c>
      <c r="D291" s="25">
        <v>401.98</v>
      </c>
      <c r="E291" s="26">
        <f>D291-F291</f>
        <v>0</v>
      </c>
      <c r="F291" s="25">
        <v>401.98</v>
      </c>
      <c r="G291" s="12" t="s">
        <v>14</v>
      </c>
      <c r="H291" s="25">
        <f t="shared" ref="H291:H294" si="121">IF(G291="Approved",F291,0)</f>
        <v>401.98</v>
      </c>
      <c r="I291" s="12" t="str">
        <f t="shared" ref="I291:I294" si="122">C291</f>
        <v>Art Installations</v>
      </c>
      <c r="J291" s="25"/>
      <c r="K291" s="18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5.4">
      <c r="A292" s="40"/>
      <c r="B292" s="12"/>
      <c r="C292" s="12" t="s">
        <v>91</v>
      </c>
      <c r="D292" s="25">
        <v>303.54000000000002</v>
      </c>
      <c r="E292" s="26">
        <f t="shared" si="118"/>
        <v>-191.43</v>
      </c>
      <c r="F292" s="25">
        <v>494.97</v>
      </c>
      <c r="G292" s="12" t="s">
        <v>14</v>
      </c>
      <c r="H292" s="25">
        <f t="shared" si="121"/>
        <v>494.97</v>
      </c>
      <c r="I292" s="12" t="str">
        <f t="shared" si="122"/>
        <v>SGA 1</v>
      </c>
      <c r="J292" s="12"/>
      <c r="K292" s="18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5.4">
      <c r="A293" s="40"/>
      <c r="B293" s="12"/>
      <c r="C293" s="12"/>
      <c r="D293" s="25"/>
      <c r="E293" s="26">
        <f t="shared" si="118"/>
        <v>0</v>
      </c>
      <c r="F293" s="25"/>
      <c r="G293" s="12"/>
      <c r="H293" s="25">
        <f t="shared" si="121"/>
        <v>0</v>
      </c>
      <c r="I293" s="12">
        <f t="shared" si="122"/>
        <v>0</v>
      </c>
      <c r="J293" s="12"/>
      <c r="K293" s="18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5.4">
      <c r="A294" s="40"/>
      <c r="B294" s="12"/>
      <c r="C294" s="12"/>
      <c r="D294" s="25"/>
      <c r="E294" s="26">
        <f t="shared" si="118"/>
        <v>0</v>
      </c>
      <c r="F294" s="25"/>
      <c r="G294" s="12"/>
      <c r="H294" s="25">
        <f t="shared" si="121"/>
        <v>0</v>
      </c>
      <c r="I294" s="12">
        <f t="shared" si="122"/>
        <v>0</v>
      </c>
      <c r="J294" s="12"/>
      <c r="K294" s="18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5.4">
      <c r="A295" s="40"/>
      <c r="B295" s="29"/>
      <c r="C295" s="29"/>
      <c r="D295" s="29"/>
      <c r="E295" s="29"/>
      <c r="F295" s="29"/>
      <c r="G295" s="29"/>
      <c r="H295" s="30">
        <f>SUM(H268:H293)</f>
        <v>5531.9100000000008</v>
      </c>
      <c r="I295" s="29"/>
      <c r="J295" s="12"/>
      <c r="K295" s="18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5.4">
      <c r="A296" s="40"/>
      <c r="B296" s="23"/>
      <c r="C296" s="23"/>
      <c r="D296" s="23"/>
      <c r="E296" s="23"/>
      <c r="F296" s="23"/>
      <c r="G296" s="23"/>
      <c r="H296" s="23"/>
      <c r="I296" s="24">
        <v>103565.98</v>
      </c>
      <c r="J296" s="12"/>
      <c r="K296" s="18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5.4">
      <c r="A297" s="40"/>
      <c r="B297" s="12"/>
      <c r="C297" s="12" t="s">
        <v>82</v>
      </c>
      <c r="D297" s="25">
        <v>280</v>
      </c>
      <c r="E297" s="26">
        <f t="shared" ref="E297:E308" si="123">D297-F297</f>
        <v>0</v>
      </c>
      <c r="F297" s="25">
        <v>280</v>
      </c>
      <c r="G297" s="12" t="s">
        <v>14</v>
      </c>
      <c r="H297" s="25">
        <f t="shared" ref="H297:H309" si="124">IF(G297="Approved",F297,0)</f>
        <v>280</v>
      </c>
      <c r="I297" s="12" t="str">
        <f t="shared" ref="I297:I309" si="125">C297</f>
        <v>ALPFA</v>
      </c>
      <c r="J297" s="12"/>
      <c r="K297" s="18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5.4">
      <c r="A298" s="40"/>
      <c r="B298" s="12" t="s">
        <v>173</v>
      </c>
      <c r="C298" s="12" t="s">
        <v>195</v>
      </c>
      <c r="D298" s="36">
        <v>521.25</v>
      </c>
      <c r="E298" s="26">
        <f t="shared" si="123"/>
        <v>85.43</v>
      </c>
      <c r="F298" s="25">
        <v>435.82</v>
      </c>
      <c r="G298" s="12" t="s">
        <v>14</v>
      </c>
      <c r="H298" s="25">
        <f t="shared" si="124"/>
        <v>435.82</v>
      </c>
      <c r="I298" s="12" t="str">
        <f t="shared" si="125"/>
        <v>Stevens Hellenic Society</v>
      </c>
      <c r="J298" s="12"/>
      <c r="K298" s="18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5.4">
      <c r="A299" s="40"/>
      <c r="B299" s="12"/>
      <c r="C299" s="12" t="s">
        <v>185</v>
      </c>
      <c r="D299" s="25">
        <v>67.84</v>
      </c>
      <c r="E299" s="26">
        <f t="shared" si="123"/>
        <v>0</v>
      </c>
      <c r="F299" s="25">
        <v>67.84</v>
      </c>
      <c r="G299" s="12" t="s">
        <v>14</v>
      </c>
      <c r="H299" s="25">
        <f t="shared" si="124"/>
        <v>67.84</v>
      </c>
      <c r="I299" s="12" t="str">
        <f t="shared" si="125"/>
        <v>Mock Trial 1</v>
      </c>
      <c r="J299" s="12"/>
      <c r="K299" s="18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5.4">
      <c r="A300" s="40"/>
      <c r="B300" s="12"/>
      <c r="C300" s="12" t="s">
        <v>186</v>
      </c>
      <c r="D300" s="25">
        <v>248.94</v>
      </c>
      <c r="E300" s="26">
        <f t="shared" si="123"/>
        <v>0</v>
      </c>
      <c r="F300" s="25">
        <v>248.94</v>
      </c>
      <c r="G300" s="12" t="s">
        <v>14</v>
      </c>
      <c r="H300" s="25">
        <f t="shared" si="124"/>
        <v>248.94</v>
      </c>
      <c r="I300" s="12" t="str">
        <f t="shared" si="125"/>
        <v>Mock Trial 2</v>
      </c>
      <c r="J300" s="12"/>
      <c r="K300" s="18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5.4">
      <c r="A301" s="40"/>
      <c r="B301" s="12"/>
      <c r="C301" s="12" t="s">
        <v>221</v>
      </c>
      <c r="D301" s="25">
        <v>270.51</v>
      </c>
      <c r="E301" s="26">
        <f t="shared" si="123"/>
        <v>0</v>
      </c>
      <c r="F301" s="25">
        <v>270.51</v>
      </c>
      <c r="G301" s="12" t="s">
        <v>14</v>
      </c>
      <c r="H301" s="25">
        <f t="shared" si="124"/>
        <v>270.51</v>
      </c>
      <c r="I301" s="12" t="str">
        <f t="shared" si="125"/>
        <v>Mock Trial 3</v>
      </c>
      <c r="J301" s="12"/>
      <c r="K301" s="18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5.4">
      <c r="A302" s="40"/>
      <c r="B302" s="12" t="s">
        <v>222</v>
      </c>
      <c r="C302" s="12" t="s">
        <v>199</v>
      </c>
      <c r="D302" s="25">
        <v>1140.31</v>
      </c>
      <c r="E302" s="26">
        <f t="shared" si="123"/>
        <v>0</v>
      </c>
      <c r="F302" s="25">
        <v>1140.31</v>
      </c>
      <c r="G302" s="12" t="s">
        <v>14</v>
      </c>
      <c r="H302" s="25">
        <f t="shared" si="124"/>
        <v>1140.31</v>
      </c>
      <c r="I302" s="12" t="str">
        <f t="shared" si="125"/>
        <v>JSA</v>
      </c>
      <c r="J302" s="12"/>
      <c r="K302" s="18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5.4">
      <c r="A303" s="40"/>
      <c r="B303" s="12"/>
      <c r="C303" s="12" t="s">
        <v>223</v>
      </c>
      <c r="D303" s="25">
        <v>100</v>
      </c>
      <c r="E303" s="26">
        <f t="shared" si="123"/>
        <v>0</v>
      </c>
      <c r="F303" s="25">
        <v>100</v>
      </c>
      <c r="G303" s="12" t="s">
        <v>14</v>
      </c>
      <c r="H303" s="25">
        <f t="shared" si="124"/>
        <v>100</v>
      </c>
      <c r="I303" s="12" t="str">
        <f t="shared" si="125"/>
        <v>Stevens Creative Storytelling Club</v>
      </c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5.4">
      <c r="A304" s="40"/>
      <c r="B304" s="12" t="s">
        <v>177</v>
      </c>
      <c r="C304" s="12" t="s">
        <v>224</v>
      </c>
      <c r="D304" s="25">
        <v>850</v>
      </c>
      <c r="E304" s="26">
        <f t="shared" si="123"/>
        <v>-88</v>
      </c>
      <c r="F304" s="25">
        <v>938</v>
      </c>
      <c r="G304" s="12" t="s">
        <v>14</v>
      </c>
      <c r="H304" s="25">
        <f t="shared" si="124"/>
        <v>938</v>
      </c>
      <c r="I304" s="12" t="str">
        <f t="shared" si="125"/>
        <v>Stevens Computer Science Club</v>
      </c>
      <c r="J304" s="12"/>
      <c r="K304" s="18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5.4">
      <c r="A305" s="40"/>
      <c r="B305" s="12" t="s">
        <v>184</v>
      </c>
      <c r="C305" s="12" t="s">
        <v>123</v>
      </c>
      <c r="D305" s="25">
        <v>629</v>
      </c>
      <c r="E305" s="26">
        <f t="shared" si="123"/>
        <v>0</v>
      </c>
      <c r="F305" s="25">
        <v>629</v>
      </c>
      <c r="G305" s="12" t="s">
        <v>14</v>
      </c>
      <c r="H305" s="28">
        <f t="shared" si="124"/>
        <v>629</v>
      </c>
      <c r="I305" s="12" t="str">
        <f t="shared" si="125"/>
        <v>ASME 1</v>
      </c>
      <c r="J305" s="12"/>
      <c r="K305" s="18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4">
      <c r="A306" s="40"/>
      <c r="B306" s="12"/>
      <c r="C306" s="12" t="s">
        <v>124</v>
      </c>
      <c r="D306" s="25">
        <v>68.97</v>
      </c>
      <c r="E306" s="26">
        <f t="shared" si="123"/>
        <v>-31.03</v>
      </c>
      <c r="F306" s="25">
        <v>100</v>
      </c>
      <c r="G306" s="12" t="s">
        <v>14</v>
      </c>
      <c r="H306" s="28">
        <f t="shared" si="124"/>
        <v>100</v>
      </c>
      <c r="I306" s="12" t="str">
        <f t="shared" si="125"/>
        <v>ASME 2</v>
      </c>
      <c r="J306" s="12"/>
      <c r="K306" s="18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5.4">
      <c r="A307" s="40"/>
      <c r="B307" s="12" t="s">
        <v>225</v>
      </c>
      <c r="C307" s="12" t="s">
        <v>107</v>
      </c>
      <c r="D307" s="25">
        <v>417.87</v>
      </c>
      <c r="E307" s="26">
        <f t="shared" si="123"/>
        <v>0</v>
      </c>
      <c r="F307" s="25">
        <v>417.87</v>
      </c>
      <c r="G307" s="12" t="s">
        <v>14</v>
      </c>
      <c r="H307" s="28">
        <f t="shared" si="124"/>
        <v>417.87</v>
      </c>
      <c r="I307" s="12" t="str">
        <f t="shared" si="125"/>
        <v>SWIB 1</v>
      </c>
      <c r="J307" s="12"/>
      <c r="K307" s="18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5.4">
      <c r="A308" s="40"/>
      <c r="B308" s="12"/>
      <c r="C308" s="12" t="s">
        <v>109</v>
      </c>
      <c r="D308" s="25">
        <v>95.93</v>
      </c>
      <c r="E308" s="26">
        <f t="shared" si="123"/>
        <v>-4.0699999999999932</v>
      </c>
      <c r="F308" s="25">
        <v>100</v>
      </c>
      <c r="G308" s="12" t="s">
        <v>14</v>
      </c>
      <c r="H308" s="28">
        <f t="shared" si="124"/>
        <v>100</v>
      </c>
      <c r="I308" s="12" t="str">
        <f t="shared" si="125"/>
        <v>SWIB 2</v>
      </c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5.4">
      <c r="A309" s="40"/>
      <c r="B309" s="12" t="s">
        <v>163</v>
      </c>
      <c r="C309" s="12" t="s">
        <v>58</v>
      </c>
      <c r="D309" s="25">
        <v>362.17</v>
      </c>
      <c r="E309" s="26">
        <f>D309-F309</f>
        <v>0</v>
      </c>
      <c r="F309" s="25">
        <v>362.17</v>
      </c>
      <c r="G309" s="12" t="s">
        <v>14</v>
      </c>
      <c r="H309" s="28">
        <f t="shared" si="124"/>
        <v>362.17</v>
      </c>
      <c r="I309" s="12" t="str">
        <f t="shared" si="125"/>
        <v>AiChe</v>
      </c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5.4">
      <c r="A310" s="40"/>
      <c r="B310" s="12"/>
      <c r="C310" s="12" t="s">
        <v>226</v>
      </c>
      <c r="D310" s="25">
        <v>1147.4100000000001</v>
      </c>
      <c r="E310" s="26">
        <f t="shared" ref="E310:E323" si="126">D310-F310</f>
        <v>0</v>
      </c>
      <c r="F310" s="25">
        <v>1147.4100000000001</v>
      </c>
      <c r="G310" s="12" t="s">
        <v>14</v>
      </c>
      <c r="H310" s="28">
        <f t="shared" ref="H310:H314" si="127">IF(G310="Approved",F310,0)</f>
        <v>1147.4100000000001</v>
      </c>
      <c r="I310" s="12" t="str">
        <f t="shared" ref="I310:I314" si="128">C310</f>
        <v>Robotics Club</v>
      </c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5.4">
      <c r="A311" s="40"/>
      <c r="B311" s="12"/>
      <c r="C311" s="12" t="s">
        <v>227</v>
      </c>
      <c r="D311" s="25">
        <v>383.51</v>
      </c>
      <c r="E311" s="26">
        <f t="shared" si="126"/>
        <v>0</v>
      </c>
      <c r="F311" s="25">
        <v>383.51</v>
      </c>
      <c r="G311" s="12" t="s">
        <v>14</v>
      </c>
      <c r="H311" s="28">
        <f t="shared" si="127"/>
        <v>383.51</v>
      </c>
      <c r="I311" s="12" t="str">
        <f t="shared" si="128"/>
        <v>Commuter Student Union 1</v>
      </c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5.4">
      <c r="A312" s="40"/>
      <c r="B312" s="12"/>
      <c r="C312" s="12" t="s">
        <v>228</v>
      </c>
      <c r="D312" s="25">
        <v>300</v>
      </c>
      <c r="E312" s="26">
        <f t="shared" si="126"/>
        <v>300</v>
      </c>
      <c r="F312" s="25">
        <v>0</v>
      </c>
      <c r="G312" s="12" t="s">
        <v>57</v>
      </c>
      <c r="H312" s="28">
        <f t="shared" si="127"/>
        <v>0</v>
      </c>
      <c r="I312" s="12" t="str">
        <f t="shared" si="128"/>
        <v>Commuter Student Union 2</v>
      </c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5.4">
      <c r="A313" s="40"/>
      <c r="B313" s="12" t="s">
        <v>208</v>
      </c>
      <c r="C313" s="12" t="s">
        <v>229</v>
      </c>
      <c r="D313" s="25">
        <v>100</v>
      </c>
      <c r="E313" s="26">
        <f t="shared" si="126"/>
        <v>0</v>
      </c>
      <c r="F313" s="25">
        <v>100</v>
      </c>
      <c r="G313" s="12" t="s">
        <v>14</v>
      </c>
      <c r="H313" s="28">
        <f t="shared" si="127"/>
        <v>100</v>
      </c>
      <c r="I313" s="12" t="str">
        <f t="shared" si="128"/>
        <v>ESC 1</v>
      </c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5.4">
      <c r="A314" s="40"/>
      <c r="B314" s="12"/>
      <c r="C314" s="12" t="s">
        <v>230</v>
      </c>
      <c r="D314" s="25">
        <v>802.5</v>
      </c>
      <c r="E314" s="26">
        <f t="shared" si="126"/>
        <v>0</v>
      </c>
      <c r="F314" s="25">
        <v>802.5</v>
      </c>
      <c r="G314" s="12" t="s">
        <v>14</v>
      </c>
      <c r="H314" s="28">
        <f t="shared" si="127"/>
        <v>802.5</v>
      </c>
      <c r="I314" s="12" t="str">
        <f t="shared" si="128"/>
        <v>ESC 2</v>
      </c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5.4">
      <c r="A315" s="40"/>
      <c r="B315" s="12"/>
      <c r="C315" s="12" t="s">
        <v>231</v>
      </c>
      <c r="D315" s="25">
        <v>521.99</v>
      </c>
      <c r="E315" s="26">
        <f t="shared" si="126"/>
        <v>0</v>
      </c>
      <c r="F315" s="25">
        <v>521.99</v>
      </c>
      <c r="G315" s="12" t="s">
        <v>14</v>
      </c>
      <c r="H315" s="28">
        <f t="shared" ref="H315:H320" si="129">IF(G315="Approved",F315,0)</f>
        <v>521.99</v>
      </c>
      <c r="I315" s="12" t="str">
        <f t="shared" ref="I315:I320" si="130">C315</f>
        <v>The Link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5.4">
      <c r="A316" s="40"/>
      <c r="B316" s="12"/>
      <c r="C316" s="12" t="s">
        <v>79</v>
      </c>
      <c r="D316" s="25">
        <v>100</v>
      </c>
      <c r="E316" s="26">
        <f t="shared" si="126"/>
        <v>0</v>
      </c>
      <c r="F316" s="25">
        <v>100</v>
      </c>
      <c r="G316" s="12" t="s">
        <v>14</v>
      </c>
      <c r="H316" s="28">
        <f t="shared" si="129"/>
        <v>100</v>
      </c>
      <c r="I316" s="12" t="str">
        <f t="shared" si="130"/>
        <v>BMES</v>
      </c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5.4">
      <c r="A317" s="40"/>
      <c r="B317" s="12"/>
      <c r="C317" s="12" t="s">
        <v>232</v>
      </c>
      <c r="D317" s="25">
        <v>500</v>
      </c>
      <c r="E317" s="26">
        <f t="shared" si="126"/>
        <v>0</v>
      </c>
      <c r="F317" s="25">
        <v>500</v>
      </c>
      <c r="G317" s="12" t="s">
        <v>14</v>
      </c>
      <c r="H317" s="28">
        <f t="shared" si="129"/>
        <v>500</v>
      </c>
      <c r="I317" s="12" t="str">
        <f t="shared" si="130"/>
        <v>Stevens Running Club</v>
      </c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5.4">
      <c r="A318" s="40"/>
      <c r="B318" s="12"/>
      <c r="C318" s="12" t="s">
        <v>233</v>
      </c>
      <c r="D318" s="25">
        <v>55</v>
      </c>
      <c r="E318" s="26">
        <f t="shared" si="126"/>
        <v>0</v>
      </c>
      <c r="F318" s="25">
        <v>55</v>
      </c>
      <c r="G318" s="12" t="s">
        <v>14</v>
      </c>
      <c r="H318" s="28">
        <f t="shared" si="129"/>
        <v>55</v>
      </c>
      <c r="I318" s="12" t="str">
        <f t="shared" si="130"/>
        <v xml:space="preserve">Cyber Defense </v>
      </c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5.4">
      <c r="A319" s="40"/>
      <c r="B319" s="12"/>
      <c r="C319" s="12" t="s">
        <v>45</v>
      </c>
      <c r="D319" s="25">
        <v>12</v>
      </c>
      <c r="E319" s="26">
        <f t="shared" si="126"/>
        <v>0</v>
      </c>
      <c r="F319" s="25">
        <v>12</v>
      </c>
      <c r="G319" s="12" t="s">
        <v>14</v>
      </c>
      <c r="H319" s="28">
        <f t="shared" si="129"/>
        <v>12</v>
      </c>
      <c r="I319" s="12" t="str">
        <f t="shared" si="130"/>
        <v>Amnesty</v>
      </c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5.4">
      <c r="A320" s="40"/>
      <c r="B320" s="12" t="s">
        <v>208</v>
      </c>
      <c r="C320" s="12" t="s">
        <v>234</v>
      </c>
      <c r="D320" s="25">
        <v>818.8</v>
      </c>
      <c r="E320" s="26">
        <f t="shared" si="126"/>
        <v>818.8</v>
      </c>
      <c r="F320" s="25">
        <v>0</v>
      </c>
      <c r="G320" s="12" t="s">
        <v>57</v>
      </c>
      <c r="H320" s="28">
        <f t="shared" si="129"/>
        <v>0</v>
      </c>
      <c r="I320" s="12" t="str">
        <f t="shared" si="130"/>
        <v>SWiCS 1</v>
      </c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5.4">
      <c r="A321" s="40"/>
      <c r="B321" s="12"/>
      <c r="C321" s="12" t="s">
        <v>235</v>
      </c>
      <c r="D321" s="25">
        <v>485</v>
      </c>
      <c r="E321" s="26">
        <f t="shared" si="126"/>
        <v>0</v>
      </c>
      <c r="F321" s="25">
        <v>485</v>
      </c>
      <c r="G321" s="12" t="s">
        <v>14</v>
      </c>
      <c r="H321" s="28">
        <f t="shared" ref="H321:H323" si="131">IF(G321="Approved",F321,0)</f>
        <v>485</v>
      </c>
      <c r="I321" s="12" t="str">
        <f t="shared" ref="I321:I323" si="132">C321</f>
        <v>SWiCS 2</v>
      </c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5.4">
      <c r="A322" s="40"/>
      <c r="B322" s="12"/>
      <c r="C322" s="12" t="s">
        <v>236</v>
      </c>
      <c r="D322" s="25">
        <v>76.790000000000006</v>
      </c>
      <c r="E322" s="26">
        <f t="shared" si="126"/>
        <v>0</v>
      </c>
      <c r="F322" s="25">
        <v>76.790000000000006</v>
      </c>
      <c r="G322" s="12" t="s">
        <v>14</v>
      </c>
      <c r="H322" s="28">
        <f t="shared" si="131"/>
        <v>76.790000000000006</v>
      </c>
      <c r="I322" s="12" t="str">
        <f t="shared" si="132"/>
        <v>SWiCS 3</v>
      </c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5.4">
      <c r="A323" s="40"/>
      <c r="B323" s="12"/>
      <c r="C323" s="12" t="s">
        <v>237</v>
      </c>
      <c r="D323" s="25">
        <v>76.790000000000006</v>
      </c>
      <c r="E323" s="26">
        <f t="shared" si="126"/>
        <v>76.790000000000006</v>
      </c>
      <c r="F323" s="25">
        <v>0</v>
      </c>
      <c r="G323" s="12" t="s">
        <v>57</v>
      </c>
      <c r="H323" s="28">
        <f t="shared" si="131"/>
        <v>0</v>
      </c>
      <c r="I323" s="12" t="str">
        <f t="shared" si="132"/>
        <v>SWiCS 4</v>
      </c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5.4">
      <c r="A324" s="40"/>
      <c r="B324" s="12"/>
      <c r="C324" s="12" t="s">
        <v>150</v>
      </c>
      <c r="D324" s="25">
        <v>100</v>
      </c>
      <c r="E324" s="26">
        <f>D324-F324</f>
        <v>100</v>
      </c>
      <c r="F324" s="25">
        <v>0</v>
      </c>
      <c r="G324" s="12" t="s">
        <v>57</v>
      </c>
      <c r="H324" s="28">
        <f>IF(G324="Approved",F324,0)</f>
        <v>0</v>
      </c>
      <c r="I324" s="12" t="str">
        <f>C324</f>
        <v>KSA 1</v>
      </c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5.4">
      <c r="A325" s="40"/>
      <c r="B325" s="12" t="s">
        <v>238</v>
      </c>
      <c r="C325" s="12" t="s">
        <v>151</v>
      </c>
      <c r="D325" s="25">
        <v>2785</v>
      </c>
      <c r="E325" s="26">
        <f t="shared" ref="E325:E331" si="133">D325-F325</f>
        <v>105</v>
      </c>
      <c r="F325" s="25">
        <v>2680</v>
      </c>
      <c r="G325" s="12" t="s">
        <v>14</v>
      </c>
      <c r="H325" s="28">
        <f t="shared" ref="H325:H327" si="134">IF(G325="Approved",F325,0)</f>
        <v>2680</v>
      </c>
      <c r="I325" s="12" t="str">
        <f t="shared" ref="I325:I327" si="135">C325</f>
        <v>KSA 2</v>
      </c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5.4">
      <c r="A326" s="40"/>
      <c r="B326" s="12"/>
      <c r="C326" s="27" t="s">
        <v>239</v>
      </c>
      <c r="D326" s="25">
        <v>120</v>
      </c>
      <c r="E326" s="26">
        <f t="shared" si="133"/>
        <v>0</v>
      </c>
      <c r="F326" s="25">
        <v>120</v>
      </c>
      <c r="G326" s="12" t="s">
        <v>14</v>
      </c>
      <c r="H326" s="28">
        <f t="shared" si="134"/>
        <v>120</v>
      </c>
      <c r="I326" s="12" t="str">
        <f t="shared" si="135"/>
        <v>SEEPS</v>
      </c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5.4">
      <c r="A327" s="40"/>
      <c r="B327" s="12" t="s">
        <v>208</v>
      </c>
      <c r="C327" s="12" t="s">
        <v>240</v>
      </c>
      <c r="D327" s="25">
        <v>424</v>
      </c>
      <c r="E327" s="25">
        <f>D327-F327</f>
        <v>0</v>
      </c>
      <c r="F327" s="25">
        <v>424</v>
      </c>
      <c r="G327" s="12" t="s">
        <v>14</v>
      </c>
      <c r="H327" s="28">
        <f t="shared" si="134"/>
        <v>424</v>
      </c>
      <c r="I327" s="12" t="str">
        <f t="shared" si="135"/>
        <v>Console Gaming  1</v>
      </c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5.4">
      <c r="A328" s="40"/>
      <c r="B328" s="22" t="s">
        <v>208</v>
      </c>
      <c r="C328" s="12" t="s">
        <v>241</v>
      </c>
      <c r="D328" s="25">
        <v>100</v>
      </c>
      <c r="E328" s="25">
        <f>D328-F328</f>
        <v>0</v>
      </c>
      <c r="F328" s="25">
        <v>100</v>
      </c>
      <c r="G328" s="12" t="s">
        <v>14</v>
      </c>
      <c r="H328" s="28">
        <f t="shared" ref="H328:H331" si="136">IF(G328="Approved",F328,0)</f>
        <v>100</v>
      </c>
      <c r="I328" s="12" t="str">
        <f t="shared" ref="I328:I329" si="137">C328</f>
        <v>RGB Photo</v>
      </c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5.4">
      <c r="A329" s="40"/>
      <c r="B329" s="12"/>
      <c r="C329" s="12" t="s">
        <v>13</v>
      </c>
      <c r="D329" s="25">
        <v>1463.8</v>
      </c>
      <c r="E329" s="26">
        <f t="shared" si="133"/>
        <v>0</v>
      </c>
      <c r="F329" s="25">
        <v>1463.8</v>
      </c>
      <c r="G329" s="12" t="s">
        <v>14</v>
      </c>
      <c r="H329" s="28">
        <f t="shared" si="136"/>
        <v>1463.8</v>
      </c>
      <c r="I329" s="12" t="str">
        <f t="shared" si="137"/>
        <v>SGA</v>
      </c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>
      <c r="A330" s="40"/>
      <c r="B330" s="12"/>
      <c r="C330" s="50" t="s">
        <v>242</v>
      </c>
      <c r="D330" s="25">
        <v>6000</v>
      </c>
      <c r="E330" s="26">
        <f t="shared" si="133"/>
        <v>0</v>
      </c>
      <c r="F330" s="25">
        <v>6000</v>
      </c>
      <c r="G330" s="12" t="s">
        <v>14</v>
      </c>
      <c r="H330" s="28">
        <f t="shared" si="136"/>
        <v>6000</v>
      </c>
      <c r="I330" s="12">
        <f>C331</f>
        <v>0</v>
      </c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>
      <c r="A331" s="40"/>
      <c r="B331" s="12"/>
      <c r="C331" s="12"/>
      <c r="D331" s="25"/>
      <c r="E331" s="26">
        <f t="shared" si="133"/>
        <v>0</v>
      </c>
      <c r="F331" s="25"/>
      <c r="G331" s="12"/>
      <c r="H331" s="28">
        <f t="shared" si="136"/>
        <v>0</v>
      </c>
      <c r="I331" s="12" t="e">
        <f>#REF!</f>
        <v>#REF!</v>
      </c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5.4">
      <c r="A332" s="40"/>
      <c r="B332" s="29"/>
      <c r="C332" s="29"/>
      <c r="D332" s="29"/>
      <c r="E332" s="29"/>
      <c r="F332" s="29"/>
      <c r="G332" s="29"/>
      <c r="H332" s="30">
        <f>SUM(H297:H331)</f>
        <v>20062.46</v>
      </c>
      <c r="I332" s="29"/>
      <c r="J332" s="12"/>
      <c r="K332" s="18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5.4">
      <c r="A333" s="40"/>
      <c r="B333" s="23"/>
      <c r="C333" s="23"/>
      <c r="D333" s="23"/>
      <c r="E333" s="23"/>
      <c r="F333" s="23"/>
      <c r="G333" s="23"/>
      <c r="H333" s="23"/>
      <c r="I333" s="24">
        <f>I296-H332</f>
        <v>83503.51999999999</v>
      </c>
      <c r="J333" s="12"/>
      <c r="K333" s="18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5.4">
      <c r="A334" s="40"/>
      <c r="B334" s="12"/>
      <c r="C334" s="12" t="s">
        <v>243</v>
      </c>
      <c r="D334" s="25">
        <v>100</v>
      </c>
      <c r="E334" s="26">
        <f t="shared" ref="E334:E344" si="138">D334-F334</f>
        <v>0</v>
      </c>
      <c r="F334" s="25">
        <v>100</v>
      </c>
      <c r="G334" s="12" t="s">
        <v>14</v>
      </c>
      <c r="H334" s="25">
        <f t="shared" ref="H334:H345" si="139">IF(G334="Approved",F334,0)</f>
        <v>100</v>
      </c>
      <c r="I334" s="12" t="str">
        <f t="shared" ref="I334:I345" si="140">C334</f>
        <v xml:space="preserve">Omega Chi Epsilon </v>
      </c>
      <c r="J334" s="12"/>
      <c r="K334" s="18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5.4">
      <c r="A335" s="40"/>
      <c r="B335" s="12"/>
      <c r="C335" s="12" t="s">
        <v>54</v>
      </c>
      <c r="D335" s="25">
        <v>100</v>
      </c>
      <c r="E335" s="26">
        <f t="shared" si="138"/>
        <v>0</v>
      </c>
      <c r="F335" s="25">
        <v>100</v>
      </c>
      <c r="G335" s="12" t="s">
        <v>14</v>
      </c>
      <c r="H335" s="25">
        <f t="shared" si="139"/>
        <v>100</v>
      </c>
      <c r="I335" s="12" t="str">
        <f t="shared" si="140"/>
        <v>KSA</v>
      </c>
      <c r="J335" s="12"/>
      <c r="K335" s="18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5.4">
      <c r="A336" s="40"/>
      <c r="B336" s="12" t="s">
        <v>208</v>
      </c>
      <c r="C336" s="12" t="s">
        <v>244</v>
      </c>
      <c r="D336" s="25">
        <v>100</v>
      </c>
      <c r="E336" s="26">
        <f>D337-F336</f>
        <v>0</v>
      </c>
      <c r="F336" s="25">
        <v>100</v>
      </c>
      <c r="G336" s="12" t="s">
        <v>14</v>
      </c>
      <c r="H336" s="25">
        <f t="shared" si="139"/>
        <v>100</v>
      </c>
      <c r="I336" s="12" t="str">
        <f t="shared" si="140"/>
        <v>FAST</v>
      </c>
      <c r="J336" s="12"/>
      <c r="K336" s="16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5.4">
      <c r="A337" s="40"/>
      <c r="B337" s="12"/>
      <c r="C337" s="12" t="s">
        <v>89</v>
      </c>
      <c r="D337" s="25">
        <v>100</v>
      </c>
      <c r="E337" s="25">
        <f>D337-F337</f>
        <v>0</v>
      </c>
      <c r="F337" s="25">
        <v>100</v>
      </c>
      <c r="G337" s="12" t="s">
        <v>14</v>
      </c>
      <c r="H337" s="25">
        <f t="shared" si="139"/>
        <v>100</v>
      </c>
      <c r="I337" s="12" t="str">
        <f t="shared" si="140"/>
        <v>Stevens Poker Club</v>
      </c>
      <c r="J337" s="12"/>
      <c r="K337" s="18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5.4">
      <c r="A338" s="40"/>
      <c r="B338" s="12"/>
      <c r="C338" s="12" t="s">
        <v>82</v>
      </c>
      <c r="D338" s="25">
        <v>260</v>
      </c>
      <c r="E338" s="26">
        <f t="shared" si="138"/>
        <v>0</v>
      </c>
      <c r="F338" s="25">
        <v>260</v>
      </c>
      <c r="G338" s="12" t="s">
        <v>14</v>
      </c>
      <c r="H338" s="25">
        <f t="shared" si="139"/>
        <v>260</v>
      </c>
      <c r="I338" s="12" t="str">
        <f t="shared" si="140"/>
        <v>ALPFA</v>
      </c>
      <c r="J338" s="12"/>
      <c r="K338" s="18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5.4">
      <c r="A339" s="40"/>
      <c r="B339" s="12"/>
      <c r="C339" s="12" t="s">
        <v>245</v>
      </c>
      <c r="D339" s="25">
        <v>120</v>
      </c>
      <c r="E339" s="26">
        <f t="shared" si="138"/>
        <v>0</v>
      </c>
      <c r="F339" s="25">
        <v>120</v>
      </c>
      <c r="G339" s="12" t="s">
        <v>14</v>
      </c>
      <c r="H339" s="25">
        <f t="shared" si="139"/>
        <v>120</v>
      </c>
      <c r="I339" s="12" t="str">
        <f t="shared" si="140"/>
        <v>Castle Point Anime Convention</v>
      </c>
      <c r="J339" s="12"/>
      <c r="K339" s="18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5.4">
      <c r="A340" s="40"/>
      <c r="B340" s="12"/>
      <c r="C340" s="12" t="s">
        <v>146</v>
      </c>
      <c r="D340" s="25">
        <v>102.69</v>
      </c>
      <c r="E340" s="26">
        <f t="shared" si="138"/>
        <v>0</v>
      </c>
      <c r="F340" s="25">
        <v>102.69</v>
      </c>
      <c r="G340" s="12" t="s">
        <v>14</v>
      </c>
      <c r="H340" s="25">
        <f t="shared" si="139"/>
        <v>102.69</v>
      </c>
      <c r="I340" s="12" t="str">
        <f t="shared" si="140"/>
        <v>ISA</v>
      </c>
      <c r="J340" s="12"/>
      <c r="K340" s="18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5.4">
      <c r="A341" s="40"/>
      <c r="B341" s="12"/>
      <c r="C341" s="12" t="s">
        <v>69</v>
      </c>
      <c r="D341" s="25">
        <v>230</v>
      </c>
      <c r="E341" s="26">
        <f t="shared" si="138"/>
        <v>0</v>
      </c>
      <c r="F341" s="25">
        <v>230</v>
      </c>
      <c r="G341" s="12" t="s">
        <v>14</v>
      </c>
      <c r="H341" s="25">
        <f t="shared" si="139"/>
        <v>230</v>
      </c>
      <c r="I341" s="12" t="str">
        <f t="shared" si="140"/>
        <v>The Stute 1</v>
      </c>
      <c r="J341" s="12"/>
      <c r="K341" s="18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5.4">
      <c r="A342" s="40"/>
      <c r="B342" s="12"/>
      <c r="C342" s="12" t="s">
        <v>71</v>
      </c>
      <c r="D342" s="25">
        <v>395</v>
      </c>
      <c r="E342" s="26">
        <f t="shared" si="138"/>
        <v>0</v>
      </c>
      <c r="F342" s="25">
        <v>395</v>
      </c>
      <c r="G342" s="12" t="s">
        <v>14</v>
      </c>
      <c r="H342" s="28">
        <f t="shared" si="139"/>
        <v>395</v>
      </c>
      <c r="I342" s="12" t="str">
        <f t="shared" si="140"/>
        <v>The Stute 2</v>
      </c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5.4">
      <c r="A343" s="40"/>
      <c r="B343" s="12"/>
      <c r="C343" s="12" t="s">
        <v>27</v>
      </c>
      <c r="D343" s="25">
        <v>92.58</v>
      </c>
      <c r="E343" s="26">
        <f t="shared" si="138"/>
        <v>0</v>
      </c>
      <c r="F343" s="25">
        <v>92.58</v>
      </c>
      <c r="G343" s="12" t="s">
        <v>14</v>
      </c>
      <c r="H343" s="28">
        <f t="shared" si="139"/>
        <v>92.58</v>
      </c>
      <c r="I343" s="12" t="str">
        <f t="shared" si="140"/>
        <v>INCOSE</v>
      </c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5.4">
      <c r="A344" s="40"/>
      <c r="B344" s="12"/>
      <c r="C344" s="12" t="s">
        <v>246</v>
      </c>
      <c r="D344" s="25">
        <v>100</v>
      </c>
      <c r="E344" s="26">
        <f t="shared" si="138"/>
        <v>0</v>
      </c>
      <c r="F344" s="25">
        <v>100</v>
      </c>
      <c r="G344" s="12" t="s">
        <v>14</v>
      </c>
      <c r="H344" s="28">
        <f t="shared" si="139"/>
        <v>100</v>
      </c>
      <c r="I344" s="12" t="str">
        <f t="shared" si="140"/>
        <v>LAA</v>
      </c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5.4">
      <c r="A345" s="40"/>
      <c r="B345" s="12"/>
      <c r="C345" s="12" t="s">
        <v>102</v>
      </c>
      <c r="D345" s="25">
        <v>100</v>
      </c>
      <c r="E345" s="26">
        <f>D345-F345</f>
        <v>0</v>
      </c>
      <c r="F345" s="25">
        <v>100</v>
      </c>
      <c r="G345" s="12" t="s">
        <v>14</v>
      </c>
      <c r="H345" s="28">
        <f t="shared" si="139"/>
        <v>100</v>
      </c>
      <c r="I345" s="12" t="str">
        <f t="shared" si="140"/>
        <v>EWB 1</v>
      </c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5.4">
      <c r="A346" s="40"/>
      <c r="B346" s="12"/>
      <c r="C346" s="12" t="s">
        <v>104</v>
      </c>
      <c r="D346" s="25">
        <v>233.01</v>
      </c>
      <c r="E346" s="26">
        <f t="shared" ref="E346:E353" si="141">D346-F346</f>
        <v>0</v>
      </c>
      <c r="F346" s="25">
        <v>233.01</v>
      </c>
      <c r="G346" s="12" t="s">
        <v>14</v>
      </c>
      <c r="H346" s="28">
        <f t="shared" ref="H346:H348" si="142">IF(G346="Approved",F346,0)</f>
        <v>233.01</v>
      </c>
      <c r="I346" s="12" t="str">
        <f t="shared" ref="I346:I348" si="143">C346</f>
        <v>EWB 2</v>
      </c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5.4">
      <c r="A347" s="40"/>
      <c r="B347" s="12"/>
      <c r="C347" s="12" t="s">
        <v>169</v>
      </c>
      <c r="D347" s="25">
        <v>89</v>
      </c>
      <c r="E347" s="26">
        <f t="shared" si="141"/>
        <v>0</v>
      </c>
      <c r="F347" s="25">
        <v>89</v>
      </c>
      <c r="G347" s="12" t="s">
        <v>14</v>
      </c>
      <c r="H347" s="28">
        <f t="shared" si="142"/>
        <v>89</v>
      </c>
      <c r="I347" s="12" t="str">
        <f t="shared" si="143"/>
        <v>SNAME</v>
      </c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5.4">
      <c r="A348" s="40"/>
      <c r="B348" s="12"/>
      <c r="C348" s="12" t="s">
        <v>219</v>
      </c>
      <c r="D348" s="25">
        <v>5025.78</v>
      </c>
      <c r="E348" s="26">
        <f t="shared" si="141"/>
        <v>220.5</v>
      </c>
      <c r="F348" s="25">
        <v>4805.28</v>
      </c>
      <c r="G348" s="12" t="s">
        <v>14</v>
      </c>
      <c r="H348" s="28">
        <f t="shared" si="142"/>
        <v>4805.28</v>
      </c>
      <c r="I348" s="12" t="str">
        <f t="shared" si="143"/>
        <v>Computer Science Club 1</v>
      </c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5.4">
      <c r="A349" s="40"/>
      <c r="B349" s="12"/>
      <c r="C349" s="12" t="s">
        <v>247</v>
      </c>
      <c r="D349" s="25">
        <v>550</v>
      </c>
      <c r="E349" s="26">
        <f t="shared" si="141"/>
        <v>550</v>
      </c>
      <c r="F349" s="25">
        <v>0</v>
      </c>
      <c r="G349" s="12" t="s">
        <v>57</v>
      </c>
      <c r="H349" s="28">
        <f t="shared" ref="H349:H353" si="144">IF(G349="Approved",F349,0)</f>
        <v>0</v>
      </c>
      <c r="I349" s="12" t="str">
        <f t="shared" ref="I349:I353" si="145">C349</f>
        <v>Sky Meditation</v>
      </c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5.4">
      <c r="A350" s="40"/>
      <c r="B350" s="12"/>
      <c r="C350" s="12" t="s">
        <v>248</v>
      </c>
      <c r="D350" s="25">
        <v>48</v>
      </c>
      <c r="E350" s="25">
        <f>D350-F350</f>
        <v>0</v>
      </c>
      <c r="F350" s="25">
        <v>48</v>
      </c>
      <c r="G350" s="12" t="s">
        <v>14</v>
      </c>
      <c r="H350" s="28">
        <f t="shared" si="144"/>
        <v>48</v>
      </c>
      <c r="I350" s="12" t="str">
        <f t="shared" si="145"/>
        <v>Stevens Amnesty International</v>
      </c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5.4">
      <c r="A351" s="40"/>
      <c r="B351" s="12"/>
      <c r="C351" s="12" t="s">
        <v>188</v>
      </c>
      <c r="D351" s="25">
        <v>412.17</v>
      </c>
      <c r="E351" s="26">
        <f t="shared" si="141"/>
        <v>0</v>
      </c>
      <c r="F351" s="25">
        <v>412.17</v>
      </c>
      <c r="G351" s="12" t="s">
        <v>14</v>
      </c>
      <c r="H351" s="28">
        <f t="shared" si="144"/>
        <v>412.17</v>
      </c>
      <c r="I351" s="12" t="str">
        <f t="shared" si="145"/>
        <v>MENAA</v>
      </c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15.4">
      <c r="A352" s="40"/>
      <c r="B352" s="12"/>
      <c r="C352" s="12" t="s">
        <v>249</v>
      </c>
      <c r="D352" s="25">
        <v>125.58</v>
      </c>
      <c r="E352" s="26">
        <f t="shared" si="141"/>
        <v>0</v>
      </c>
      <c r="F352" s="25">
        <v>125.58</v>
      </c>
      <c r="G352" s="12" t="s">
        <v>14</v>
      </c>
      <c r="H352" s="28">
        <f t="shared" si="144"/>
        <v>125.58</v>
      </c>
      <c r="I352" s="12" t="str">
        <f t="shared" si="145"/>
        <v>SCF</v>
      </c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5.4">
      <c r="A353" s="40"/>
      <c r="B353" s="12"/>
      <c r="C353" s="12" t="s">
        <v>58</v>
      </c>
      <c r="D353" s="25">
        <v>100</v>
      </c>
      <c r="E353" s="26">
        <f t="shared" si="141"/>
        <v>0</v>
      </c>
      <c r="F353" s="25">
        <v>100</v>
      </c>
      <c r="G353" s="12" t="s">
        <v>14</v>
      </c>
      <c r="H353" s="28">
        <f t="shared" si="144"/>
        <v>100</v>
      </c>
      <c r="I353" s="12" t="str">
        <f t="shared" si="145"/>
        <v>AiChe</v>
      </c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5.4">
      <c r="A354" s="40"/>
      <c r="B354" s="12"/>
      <c r="C354" s="12" t="s">
        <v>91</v>
      </c>
      <c r="D354" s="25">
        <v>571</v>
      </c>
      <c r="E354" s="26">
        <f t="shared" ref="E354:E357" si="146">D354-F354</f>
        <v>0</v>
      </c>
      <c r="F354" s="25">
        <v>571</v>
      </c>
      <c r="G354" s="12" t="s">
        <v>14</v>
      </c>
      <c r="H354" s="28">
        <f t="shared" ref="H354:H357" si="147">IF(G354="Approved",F354,0)</f>
        <v>571</v>
      </c>
      <c r="I354" s="12" t="str">
        <f t="shared" ref="I354:I357" si="148">C354</f>
        <v>SGA 1</v>
      </c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5.4">
      <c r="A355" s="40"/>
      <c r="B355" s="12"/>
      <c r="C355" s="12" t="s">
        <v>92</v>
      </c>
      <c r="D355" s="25">
        <v>847.51</v>
      </c>
      <c r="E355" s="26">
        <f t="shared" si="146"/>
        <v>0</v>
      </c>
      <c r="F355" s="25">
        <v>847.51</v>
      </c>
      <c r="G355" s="12" t="s">
        <v>14</v>
      </c>
      <c r="H355" s="28">
        <f t="shared" si="147"/>
        <v>847.51</v>
      </c>
      <c r="I355" s="12" t="str">
        <f t="shared" si="148"/>
        <v>SGA 2</v>
      </c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5.4">
      <c r="A356" s="40"/>
      <c r="B356" s="12"/>
      <c r="C356" s="12" t="s">
        <v>93</v>
      </c>
      <c r="D356" s="25">
        <v>119.96</v>
      </c>
      <c r="E356" s="26">
        <f t="shared" si="146"/>
        <v>0</v>
      </c>
      <c r="F356" s="25">
        <v>119.96</v>
      </c>
      <c r="G356" s="12" t="s">
        <v>14</v>
      </c>
      <c r="H356" s="28">
        <f t="shared" si="147"/>
        <v>119.96</v>
      </c>
      <c r="I356" s="12" t="str">
        <f t="shared" si="148"/>
        <v>SGA 3</v>
      </c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5.4">
      <c r="A357" s="40"/>
      <c r="B357" s="12"/>
      <c r="C357" s="12" t="s">
        <v>191</v>
      </c>
      <c r="D357" s="25">
        <v>1579.87</v>
      </c>
      <c r="E357" s="26">
        <f t="shared" si="146"/>
        <v>0</v>
      </c>
      <c r="F357" s="25">
        <v>1579.87</v>
      </c>
      <c r="G357" s="12" t="s">
        <v>14</v>
      </c>
      <c r="H357" s="28">
        <f t="shared" si="147"/>
        <v>1579.87</v>
      </c>
      <c r="I357" s="12" t="str">
        <f t="shared" si="148"/>
        <v>SGA 4</v>
      </c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5.4">
      <c r="A358" s="40"/>
      <c r="B358" s="12"/>
      <c r="C358" s="12" t="s">
        <v>250</v>
      </c>
      <c r="D358" s="25">
        <v>600</v>
      </c>
      <c r="E358" s="26">
        <f t="shared" ref="E358:E360" si="149">D358-F358</f>
        <v>0</v>
      </c>
      <c r="F358" s="25">
        <v>600</v>
      </c>
      <c r="G358" s="12" t="s">
        <v>14</v>
      </c>
      <c r="H358" s="28">
        <f t="shared" ref="H358:H360" si="150">IF(G358="Approved",F358,0)</f>
        <v>600</v>
      </c>
      <c r="I358" s="12" t="str">
        <f t="shared" ref="I358:I360" si="151">C358</f>
        <v>SGA 5</v>
      </c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5.4">
      <c r="A359" s="40"/>
      <c r="B359" s="12"/>
      <c r="C359" s="12" t="s">
        <v>56</v>
      </c>
      <c r="D359" s="25">
        <v>120</v>
      </c>
      <c r="E359" s="26">
        <f t="shared" si="149"/>
        <v>0</v>
      </c>
      <c r="F359" s="25">
        <v>120</v>
      </c>
      <c r="G359" s="12" t="s">
        <v>14</v>
      </c>
      <c r="H359" s="28">
        <f t="shared" si="150"/>
        <v>120</v>
      </c>
      <c r="I359" s="12" t="str">
        <f t="shared" si="151"/>
        <v>SASE</v>
      </c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5.4">
      <c r="A360" s="40"/>
      <c r="B360" s="12"/>
      <c r="C360" s="12" t="s">
        <v>251</v>
      </c>
      <c r="D360" s="25">
        <v>750</v>
      </c>
      <c r="E360" s="26">
        <f t="shared" si="149"/>
        <v>0</v>
      </c>
      <c r="F360" s="25">
        <v>750</v>
      </c>
      <c r="G360" s="12" t="s">
        <v>14</v>
      </c>
      <c r="H360" s="28">
        <f t="shared" si="150"/>
        <v>750</v>
      </c>
      <c r="I360" s="12" t="str">
        <f t="shared" si="151"/>
        <v>Computer Science Club 2</v>
      </c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5.4">
      <c r="A361" s="40"/>
      <c r="B361" s="29"/>
      <c r="C361" s="29"/>
      <c r="D361" s="30">
        <f>SUM(D334:D360)</f>
        <v>12972.149999999998</v>
      </c>
      <c r="E361" s="29"/>
      <c r="F361" s="29"/>
      <c r="G361" s="29"/>
      <c r="H361" s="30">
        <f>SUM(H334:H360)</f>
        <v>12201.649999999998</v>
      </c>
      <c r="I361" s="29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5.4">
      <c r="A362" s="40"/>
      <c r="B362" s="23"/>
      <c r="C362" s="23"/>
      <c r="D362" s="23"/>
      <c r="E362" s="23"/>
      <c r="F362" s="23"/>
      <c r="G362" s="23"/>
      <c r="H362" s="23"/>
      <c r="I362" s="24">
        <f>I333-H361</f>
        <v>71301.87</v>
      </c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5.4">
      <c r="A363" s="40"/>
      <c r="B363" s="12"/>
      <c r="C363" s="12" t="s">
        <v>252</v>
      </c>
      <c r="D363" s="25">
        <v>685</v>
      </c>
      <c r="E363" s="26">
        <f t="shared" ref="E363:F374" si="152">D363-F363</f>
        <v>0</v>
      </c>
      <c r="F363" s="25">
        <v>685</v>
      </c>
      <c r="G363" s="12" t="s">
        <v>14</v>
      </c>
      <c r="H363" s="25">
        <f t="shared" ref="H363:H374" si="153">IF(G363="Approved",F363,0)</f>
        <v>685</v>
      </c>
      <c r="I363" s="12" t="str">
        <f t="shared" ref="I363:I374" si="154">C363</f>
        <v>CS Club 1</v>
      </c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5.4">
      <c r="A364" s="40"/>
      <c r="B364" s="12"/>
      <c r="C364" s="12" t="s">
        <v>253</v>
      </c>
      <c r="D364" s="25">
        <v>921</v>
      </c>
      <c r="E364" s="26">
        <f t="shared" si="152"/>
        <v>0</v>
      </c>
      <c r="F364" s="25">
        <v>921</v>
      </c>
      <c r="G364" s="12" t="s">
        <v>14</v>
      </c>
      <c r="H364" s="25">
        <f t="shared" si="153"/>
        <v>921</v>
      </c>
      <c r="I364" s="12" t="str">
        <f t="shared" si="154"/>
        <v>CS Club 2</v>
      </c>
      <c r="J364" s="12"/>
      <c r="K364" s="18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5.4">
      <c r="A365" s="40"/>
      <c r="B365" s="12"/>
      <c r="C365" s="12" t="s">
        <v>254</v>
      </c>
      <c r="D365" s="25">
        <v>575</v>
      </c>
      <c r="E365" s="26">
        <f t="shared" si="152"/>
        <v>0</v>
      </c>
      <c r="F365" s="25">
        <v>575</v>
      </c>
      <c r="G365" s="12" t="s">
        <v>14</v>
      </c>
      <c r="H365" s="25">
        <f t="shared" si="153"/>
        <v>575</v>
      </c>
      <c r="I365" s="12" t="str">
        <f t="shared" si="154"/>
        <v>CS Club 3</v>
      </c>
      <c r="J365" s="12"/>
      <c r="K365" s="18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5.4">
      <c r="A366" s="40"/>
      <c r="B366" s="12"/>
      <c r="C366" s="12" t="s">
        <v>255</v>
      </c>
      <c r="D366" s="25">
        <v>587.66</v>
      </c>
      <c r="E366" s="26">
        <f t="shared" si="152"/>
        <v>370.65999999999997</v>
      </c>
      <c r="F366" s="25">
        <v>217</v>
      </c>
      <c r="G366" s="12" t="s">
        <v>14</v>
      </c>
      <c r="H366" s="25">
        <f t="shared" si="153"/>
        <v>217</v>
      </c>
      <c r="I366" s="12" t="str">
        <f t="shared" si="154"/>
        <v>CS Club 4</v>
      </c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5.4">
      <c r="A367" s="40"/>
      <c r="B367" s="12"/>
      <c r="C367" s="12" t="s">
        <v>195</v>
      </c>
      <c r="D367" s="25">
        <v>543.57000000000005</v>
      </c>
      <c r="E367" s="26">
        <f t="shared" si="152"/>
        <v>0</v>
      </c>
      <c r="F367" s="25">
        <v>543.57000000000005</v>
      </c>
      <c r="G367" s="12" t="s">
        <v>14</v>
      </c>
      <c r="H367" s="25">
        <f t="shared" si="153"/>
        <v>543.57000000000005</v>
      </c>
      <c r="I367" s="12" t="str">
        <f t="shared" si="154"/>
        <v>Stevens Hellenic Society</v>
      </c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5.4">
      <c r="A368" s="40"/>
      <c r="B368" s="12"/>
      <c r="C368" s="12" t="s">
        <v>82</v>
      </c>
      <c r="D368" s="25">
        <v>250</v>
      </c>
      <c r="E368" s="26">
        <f t="shared" si="152"/>
        <v>0</v>
      </c>
      <c r="F368" s="25">
        <v>250</v>
      </c>
      <c r="G368" s="12" t="s">
        <v>14</v>
      </c>
      <c r="H368" s="25">
        <f t="shared" si="153"/>
        <v>250</v>
      </c>
      <c r="I368" s="12" t="str">
        <f t="shared" si="154"/>
        <v>ALPFA</v>
      </c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5.4">
      <c r="A369" s="40"/>
      <c r="B369" s="12"/>
      <c r="C369" s="12" t="s">
        <v>256</v>
      </c>
      <c r="D369" s="25">
        <v>800</v>
      </c>
      <c r="E369" s="26">
        <f t="shared" si="152"/>
        <v>800</v>
      </c>
      <c r="F369" s="25">
        <v>0</v>
      </c>
      <c r="G369" s="12" t="s">
        <v>57</v>
      </c>
      <c r="H369" s="25">
        <f t="shared" si="153"/>
        <v>0</v>
      </c>
      <c r="I369" s="12" t="str">
        <f t="shared" si="154"/>
        <v>SKY Meditation</v>
      </c>
      <c r="J369" s="12"/>
      <c r="K369" s="18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>
      <c r="A370" s="40"/>
      <c r="B370" s="12"/>
      <c r="C370" s="4" t="s">
        <v>158</v>
      </c>
      <c r="D370" s="11">
        <v>100</v>
      </c>
      <c r="E370" s="26">
        <f t="shared" ca="1" si="152"/>
        <v>100</v>
      </c>
      <c r="F370" s="26">
        <f t="shared" ca="1" si="152"/>
        <v>100</v>
      </c>
      <c r="G370" s="12" t="s">
        <v>14</v>
      </c>
      <c r="H370" s="25">
        <f t="shared" ca="1" si="153"/>
        <v>0</v>
      </c>
      <c r="I370" s="12" t="str">
        <f t="shared" si="154"/>
        <v>Badminton Club</v>
      </c>
      <c r="J370" s="12"/>
      <c r="K370" s="18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>
      <c r="A371" s="40"/>
      <c r="B371" s="12"/>
      <c r="C371" s="4" t="s">
        <v>130</v>
      </c>
      <c r="D371" s="11">
        <v>188.52</v>
      </c>
      <c r="E371" s="26">
        <f t="shared" si="152"/>
        <v>0</v>
      </c>
      <c r="F371" s="11">
        <v>188.52</v>
      </c>
      <c r="G371" s="12" t="s">
        <v>14</v>
      </c>
      <c r="H371" s="28">
        <f t="shared" si="153"/>
        <v>188.52</v>
      </c>
      <c r="I371" s="12" t="str">
        <f t="shared" si="154"/>
        <v>SSAI 1</v>
      </c>
      <c r="J371" s="12"/>
      <c r="K371" s="18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5.4">
      <c r="A372" s="40"/>
      <c r="B372" s="12"/>
      <c r="C372" s="12" t="s">
        <v>131</v>
      </c>
      <c r="D372" s="11">
        <v>115.96</v>
      </c>
      <c r="E372" s="26">
        <f t="shared" si="152"/>
        <v>0</v>
      </c>
      <c r="F372" s="11">
        <v>115.96</v>
      </c>
      <c r="G372" s="12" t="s">
        <v>14</v>
      </c>
      <c r="H372" s="28">
        <f t="shared" si="153"/>
        <v>115.96</v>
      </c>
      <c r="I372" s="12" t="str">
        <f t="shared" si="154"/>
        <v>SSAI 2</v>
      </c>
      <c r="J372" s="12"/>
      <c r="K372" s="18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5.4">
      <c r="A373" s="40"/>
      <c r="B373" s="12"/>
      <c r="C373" s="12" t="s">
        <v>26</v>
      </c>
      <c r="D373" s="25">
        <v>1808.27</v>
      </c>
      <c r="E373" s="26">
        <f t="shared" si="152"/>
        <v>0</v>
      </c>
      <c r="F373" s="25">
        <v>1808.27</v>
      </c>
      <c r="G373" s="12" t="s">
        <v>14</v>
      </c>
      <c r="H373" s="28">
        <f t="shared" si="153"/>
        <v>1808.27</v>
      </c>
      <c r="I373" s="12" t="str">
        <f t="shared" si="154"/>
        <v>SWIB</v>
      </c>
      <c r="J373" s="12"/>
      <c r="K373" s="18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5.4">
      <c r="A374" s="40"/>
      <c r="B374" s="12"/>
      <c r="C374" s="12" t="s">
        <v>257</v>
      </c>
      <c r="D374" s="25">
        <v>100</v>
      </c>
      <c r="E374" s="26">
        <f t="shared" si="152"/>
        <v>0</v>
      </c>
      <c r="F374" s="25">
        <v>100</v>
      </c>
      <c r="G374" s="12" t="s">
        <v>14</v>
      </c>
      <c r="H374" s="28">
        <f t="shared" si="153"/>
        <v>100</v>
      </c>
      <c r="I374" s="12" t="str">
        <f t="shared" si="154"/>
        <v>TECHnique Dance 1</v>
      </c>
      <c r="J374" s="12"/>
      <c r="K374" s="18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>
      <c r="A375" s="40"/>
      <c r="B375" s="12"/>
      <c r="C375" s="12" t="s">
        <v>258</v>
      </c>
      <c r="D375" s="25">
        <v>127.96</v>
      </c>
      <c r="E375" s="26">
        <f>D375-F375</f>
        <v>127.96</v>
      </c>
      <c r="F375" s="25">
        <v>0</v>
      </c>
      <c r="G375" s="12" t="s">
        <v>57</v>
      </c>
      <c r="H375" s="28">
        <f>IF(G375="Approved",F375,0)</f>
        <v>0</v>
      </c>
      <c r="I375" s="12" t="str">
        <f>C375</f>
        <v>TECHnique Dance 2</v>
      </c>
      <c r="J375" s="12"/>
      <c r="K375" s="16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>
      <c r="A376" s="40"/>
      <c r="B376" s="12"/>
      <c r="C376" s="12" t="s">
        <v>28</v>
      </c>
      <c r="D376" s="25">
        <v>100</v>
      </c>
      <c r="E376" s="26">
        <f t="shared" ref="E376:E381" si="155">D376-F376</f>
        <v>0</v>
      </c>
      <c r="F376" s="25">
        <v>100</v>
      </c>
      <c r="G376" s="12" t="s">
        <v>14</v>
      </c>
      <c r="H376" s="28">
        <f t="shared" ref="H376:H381" si="156">IF(G376="Approved",F376,0)</f>
        <v>100</v>
      </c>
      <c r="I376" s="12" t="str">
        <f t="shared" ref="I376:I381" si="157">C376</f>
        <v>CSA 1</v>
      </c>
      <c r="J376" s="12"/>
      <c r="K376" s="16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>
      <c r="A377" s="40"/>
      <c r="B377" s="12"/>
      <c r="C377" s="12" t="s">
        <v>29</v>
      </c>
      <c r="D377" s="25">
        <v>300</v>
      </c>
      <c r="E377" s="26">
        <f t="shared" si="155"/>
        <v>0</v>
      </c>
      <c r="F377" s="25">
        <v>300</v>
      </c>
      <c r="G377" s="12" t="s">
        <v>14</v>
      </c>
      <c r="H377" s="28">
        <f t="shared" si="156"/>
        <v>300</v>
      </c>
      <c r="I377" s="12" t="str">
        <f t="shared" si="157"/>
        <v>CSA 2</v>
      </c>
      <c r="J377" s="12"/>
      <c r="K377" s="16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>
      <c r="A378" s="40"/>
      <c r="B378" s="12"/>
      <c r="C378" s="12" t="s">
        <v>16</v>
      </c>
      <c r="D378" s="25">
        <v>165</v>
      </c>
      <c r="E378" s="26">
        <f t="shared" si="155"/>
        <v>165</v>
      </c>
      <c r="F378" s="25">
        <v>0</v>
      </c>
      <c r="G378" s="12" t="s">
        <v>57</v>
      </c>
      <c r="H378" s="28">
        <f t="shared" si="156"/>
        <v>0</v>
      </c>
      <c r="I378" s="12" t="str">
        <f t="shared" si="157"/>
        <v>AED</v>
      </c>
      <c r="J378" s="12"/>
      <c r="K378" s="16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>
      <c r="A379" s="40"/>
      <c r="B379" s="12"/>
      <c r="C379" s="12" t="s">
        <v>144</v>
      </c>
      <c r="D379" s="25">
        <v>100</v>
      </c>
      <c r="E379" s="26">
        <f t="shared" si="155"/>
        <v>0</v>
      </c>
      <c r="F379" s="25">
        <v>100</v>
      </c>
      <c r="G379" s="12" t="s">
        <v>14</v>
      </c>
      <c r="H379" s="28">
        <f t="shared" si="156"/>
        <v>100</v>
      </c>
      <c r="I379" s="12" t="str">
        <f t="shared" si="157"/>
        <v>StevensTHON 1</v>
      </c>
      <c r="J379" s="12"/>
      <c r="K379" s="16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>
      <c r="A380" s="40"/>
      <c r="B380" s="12"/>
      <c r="C380" s="12" t="s">
        <v>145</v>
      </c>
      <c r="D380" s="25">
        <v>205</v>
      </c>
      <c r="E380" s="26">
        <f t="shared" si="155"/>
        <v>0</v>
      </c>
      <c r="F380" s="25">
        <v>205</v>
      </c>
      <c r="G380" s="12" t="s">
        <v>14</v>
      </c>
      <c r="H380" s="28">
        <f t="shared" si="156"/>
        <v>205</v>
      </c>
      <c r="I380" s="12" t="str">
        <f t="shared" si="157"/>
        <v>StevensTHON 2</v>
      </c>
      <c r="J380" s="12"/>
      <c r="K380" s="16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>
      <c r="A381" s="40"/>
      <c r="B381" s="12"/>
      <c r="C381" s="12" t="s">
        <v>259</v>
      </c>
      <c r="D381" s="25">
        <v>200</v>
      </c>
      <c r="E381" s="26">
        <f t="shared" si="155"/>
        <v>0</v>
      </c>
      <c r="F381" s="25">
        <v>200</v>
      </c>
      <c r="G381" s="12" t="s">
        <v>14</v>
      </c>
      <c r="H381" s="28">
        <f t="shared" si="156"/>
        <v>200</v>
      </c>
      <c r="I381" s="12" t="str">
        <f t="shared" si="157"/>
        <v>StevensTHON 3</v>
      </c>
      <c r="J381" s="12"/>
      <c r="K381" s="16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>
      <c r="A382" s="40"/>
      <c r="B382" s="12"/>
      <c r="C382" s="12" t="s">
        <v>15</v>
      </c>
      <c r="D382" s="25">
        <v>50</v>
      </c>
      <c r="E382" s="26">
        <f>D382-F382</f>
        <v>0</v>
      </c>
      <c r="F382" s="25">
        <v>50</v>
      </c>
      <c r="G382" s="12" t="s">
        <v>14</v>
      </c>
      <c r="H382" s="28">
        <f>IF(G382="Approved",F382,0)</f>
        <v>50</v>
      </c>
      <c r="I382" s="12" t="str">
        <f>C382</f>
        <v>SDS</v>
      </c>
      <c r="J382" s="12"/>
      <c r="K382" s="16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>
      <c r="A383" s="40"/>
      <c r="B383" s="12"/>
      <c r="C383" s="27" t="s">
        <v>260</v>
      </c>
      <c r="D383" s="25">
        <v>320</v>
      </c>
      <c r="E383" s="26">
        <f t="shared" ref="E383:E402" si="158">D383-F383</f>
        <v>0</v>
      </c>
      <c r="F383" s="25">
        <v>320</v>
      </c>
      <c r="G383" s="12" t="s">
        <v>14</v>
      </c>
      <c r="H383" s="28">
        <f t="shared" ref="H383:H391" si="159">IF(G383="Approved",F383,0)</f>
        <v>320</v>
      </c>
      <c r="I383" s="12" t="str">
        <f t="shared" ref="I383:I391" si="160">C383</f>
        <v>SJP 1</v>
      </c>
      <c r="J383" s="12"/>
      <c r="K383" s="16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>
      <c r="A384" s="40"/>
      <c r="B384" s="12"/>
      <c r="C384" s="12" t="s">
        <v>261</v>
      </c>
      <c r="D384" s="25">
        <v>324</v>
      </c>
      <c r="E384" s="26">
        <f t="shared" si="158"/>
        <v>0</v>
      </c>
      <c r="F384" s="25">
        <v>324</v>
      </c>
      <c r="G384" s="12" t="s">
        <v>14</v>
      </c>
      <c r="H384" s="28">
        <f t="shared" si="159"/>
        <v>324</v>
      </c>
      <c r="I384" s="12" t="str">
        <f t="shared" si="160"/>
        <v>SJP 2</v>
      </c>
      <c r="J384" s="12"/>
      <c r="K384" s="16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>
      <c r="A385" s="40"/>
      <c r="B385" s="12"/>
      <c r="C385" s="12" t="s">
        <v>244</v>
      </c>
      <c r="D385" s="25">
        <v>156.09</v>
      </c>
      <c r="E385" s="26">
        <f t="shared" si="158"/>
        <v>56.09</v>
      </c>
      <c r="F385" s="25">
        <v>100</v>
      </c>
      <c r="G385" s="12" t="s">
        <v>14</v>
      </c>
      <c r="H385" s="28">
        <f t="shared" si="159"/>
        <v>100</v>
      </c>
      <c r="I385" s="12" t="str">
        <f t="shared" si="160"/>
        <v>FAST</v>
      </c>
      <c r="J385" s="12"/>
      <c r="K385" s="16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>
      <c r="A386" s="40"/>
      <c r="B386" s="12"/>
      <c r="C386" s="12" t="s">
        <v>32</v>
      </c>
      <c r="D386" s="25">
        <v>192.74</v>
      </c>
      <c r="E386" s="26">
        <f t="shared" si="158"/>
        <v>0</v>
      </c>
      <c r="F386" s="25">
        <v>192.74</v>
      </c>
      <c r="G386" s="12" t="s">
        <v>14</v>
      </c>
      <c r="H386" s="28">
        <f t="shared" si="159"/>
        <v>192.74</v>
      </c>
      <c r="I386" s="12" t="str">
        <f t="shared" si="160"/>
        <v>Stevens Signs</v>
      </c>
      <c r="J386" s="12"/>
      <c r="K386" s="16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>
      <c r="A387" s="40"/>
      <c r="B387" s="12"/>
      <c r="C387" s="12" t="s">
        <v>262</v>
      </c>
      <c r="D387" s="25">
        <v>34.159999999999997</v>
      </c>
      <c r="E387" s="26">
        <f t="shared" si="158"/>
        <v>34.159999999999997</v>
      </c>
      <c r="F387" s="25">
        <v>0</v>
      </c>
      <c r="G387" s="12" t="s">
        <v>57</v>
      </c>
      <c r="H387" s="28">
        <f t="shared" si="159"/>
        <v>0</v>
      </c>
      <c r="I387" s="12" t="str">
        <f t="shared" si="160"/>
        <v>Software Engineering Club 1</v>
      </c>
      <c r="J387" s="12"/>
      <c r="K387" s="16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>
      <c r="A388" s="40"/>
      <c r="B388" s="12"/>
      <c r="C388" s="12" t="s">
        <v>263</v>
      </c>
      <c r="D388" s="25">
        <v>307.7</v>
      </c>
      <c r="E388" s="26">
        <f t="shared" si="158"/>
        <v>0</v>
      </c>
      <c r="F388" s="25">
        <v>307.7</v>
      </c>
      <c r="G388" s="12" t="s">
        <v>14</v>
      </c>
      <c r="H388" s="28">
        <f t="shared" si="159"/>
        <v>307.7</v>
      </c>
      <c r="I388" s="12" t="str">
        <f t="shared" si="160"/>
        <v>Software Engineering Club 2</v>
      </c>
      <c r="J388" s="12"/>
      <c r="K388" s="18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>
      <c r="A389" s="40"/>
      <c r="B389" s="12"/>
      <c r="C389" s="12"/>
      <c r="D389" s="25"/>
      <c r="E389" s="26">
        <f t="shared" si="158"/>
        <v>0</v>
      </c>
      <c r="F389" s="25"/>
      <c r="G389" s="12"/>
      <c r="H389" s="28">
        <f t="shared" si="159"/>
        <v>0</v>
      </c>
      <c r="I389" s="12">
        <f t="shared" si="160"/>
        <v>0</v>
      </c>
      <c r="J389" s="12"/>
      <c r="K389" s="18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>
      <c r="A390" s="40"/>
      <c r="B390" s="12"/>
      <c r="C390" s="12" t="s">
        <v>160</v>
      </c>
      <c r="D390" s="25">
        <v>145.03</v>
      </c>
      <c r="E390" s="26">
        <f t="shared" si="158"/>
        <v>0</v>
      </c>
      <c r="F390" s="25">
        <v>145.03</v>
      </c>
      <c r="G390" s="12" t="s">
        <v>14</v>
      </c>
      <c r="H390" s="28">
        <f t="shared" si="159"/>
        <v>145.03</v>
      </c>
      <c r="I390" s="12" t="str">
        <f t="shared" si="160"/>
        <v>American Chemical Society</v>
      </c>
      <c r="J390" s="12"/>
      <c r="K390" s="18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>
      <c r="A391" s="40"/>
      <c r="B391" s="12"/>
      <c r="C391" s="12" t="s">
        <v>94</v>
      </c>
      <c r="D391" s="25">
        <v>3200</v>
      </c>
      <c r="E391" s="26">
        <f t="shared" si="158"/>
        <v>0</v>
      </c>
      <c r="F391" s="25">
        <v>3200</v>
      </c>
      <c r="G391" s="12" t="s">
        <v>14</v>
      </c>
      <c r="H391" s="28">
        <f t="shared" si="159"/>
        <v>3200</v>
      </c>
      <c r="I391" s="12" t="str">
        <f t="shared" si="160"/>
        <v>NSBE 1</v>
      </c>
      <c r="J391" s="12"/>
      <c r="K391" s="18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>
      <c r="A392" s="40"/>
      <c r="B392" s="12"/>
      <c r="C392" s="12" t="s">
        <v>95</v>
      </c>
      <c r="D392" s="25">
        <v>1040.21</v>
      </c>
      <c r="E392" s="26">
        <f t="shared" si="158"/>
        <v>401.55000000000007</v>
      </c>
      <c r="F392" s="25">
        <v>638.66</v>
      </c>
      <c r="G392" s="12" t="s">
        <v>14</v>
      </c>
      <c r="H392" s="28">
        <f t="shared" ref="H392:H396" si="161">IF(G392="Approved",F392,0)</f>
        <v>638.66</v>
      </c>
      <c r="I392" s="12" t="str">
        <f t="shared" ref="I392:I396" si="162">C392</f>
        <v>NSBE 2</v>
      </c>
      <c r="J392" s="12"/>
      <c r="K392" s="18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>
      <c r="A393" s="40"/>
      <c r="B393" s="12"/>
      <c r="C393" s="12" t="s">
        <v>86</v>
      </c>
      <c r="D393" s="25">
        <v>300</v>
      </c>
      <c r="E393" s="26">
        <f t="shared" si="158"/>
        <v>0</v>
      </c>
      <c r="F393" s="25">
        <v>300</v>
      </c>
      <c r="G393" s="12" t="s">
        <v>14</v>
      </c>
      <c r="H393" s="28">
        <f t="shared" si="161"/>
        <v>300</v>
      </c>
      <c r="I393" s="12" t="str">
        <f t="shared" si="162"/>
        <v>Stevens Esports 1</v>
      </c>
      <c r="J393" s="12"/>
      <c r="K393" s="18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>
      <c r="A394" s="40"/>
      <c r="B394" s="12"/>
      <c r="C394" s="12" t="s">
        <v>88</v>
      </c>
      <c r="D394" s="25">
        <v>300</v>
      </c>
      <c r="E394" s="26">
        <f t="shared" si="158"/>
        <v>0</v>
      </c>
      <c r="F394" s="25">
        <v>300</v>
      </c>
      <c r="G394" s="12" t="s">
        <v>14</v>
      </c>
      <c r="H394" s="28">
        <f t="shared" si="161"/>
        <v>300</v>
      </c>
      <c r="I394" s="12" t="str">
        <f t="shared" si="162"/>
        <v>Stevens Esports 2</v>
      </c>
      <c r="J394" s="12"/>
      <c r="K394" s="18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>
      <c r="A395" s="40"/>
      <c r="B395" s="12"/>
      <c r="C395" s="12" t="s">
        <v>113</v>
      </c>
      <c r="D395" s="25">
        <v>200.6</v>
      </c>
      <c r="E395" s="26">
        <f t="shared" si="158"/>
        <v>0</v>
      </c>
      <c r="F395" s="25">
        <v>200.6</v>
      </c>
      <c r="G395" s="12" t="s">
        <v>14</v>
      </c>
      <c r="H395" s="28">
        <f t="shared" si="161"/>
        <v>200.6</v>
      </c>
      <c r="I395" s="12" t="str">
        <f t="shared" si="162"/>
        <v>Hillel 1</v>
      </c>
      <c r="J395" s="12"/>
      <c r="K395" s="18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>
      <c r="A396" s="12"/>
      <c r="C396" s="12" t="s">
        <v>115</v>
      </c>
      <c r="D396" s="25">
        <v>396.52</v>
      </c>
      <c r="E396" s="26">
        <f t="shared" si="158"/>
        <v>0</v>
      </c>
      <c r="F396" s="25">
        <v>396.52</v>
      </c>
      <c r="G396" s="12" t="s">
        <v>14</v>
      </c>
      <c r="H396" s="28">
        <f t="shared" si="161"/>
        <v>396.52</v>
      </c>
      <c r="I396" s="12" t="str">
        <f t="shared" si="162"/>
        <v>Hillel 2</v>
      </c>
      <c r="J396" s="12"/>
      <c r="K396" s="18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>
      <c r="A397" s="12"/>
      <c r="C397" s="12" t="s">
        <v>264</v>
      </c>
      <c r="D397" s="25">
        <v>65</v>
      </c>
      <c r="E397" s="26">
        <f t="shared" si="158"/>
        <v>0</v>
      </c>
      <c r="F397" s="25">
        <v>65</v>
      </c>
      <c r="G397" s="12" t="s">
        <v>14</v>
      </c>
      <c r="H397" s="28">
        <f t="shared" ref="H397:H402" si="163">IF(G397="Approved",F397,0)</f>
        <v>65</v>
      </c>
      <c r="I397" s="12" t="str">
        <f t="shared" ref="I397:I402" si="164">C397</f>
        <v>Stevens Cyber Defense Team 1</v>
      </c>
      <c r="J397" s="12"/>
      <c r="K397" s="18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>
      <c r="A398" s="12"/>
      <c r="C398" s="12" t="s">
        <v>265</v>
      </c>
      <c r="D398" s="25">
        <v>26.46</v>
      </c>
      <c r="E398" s="26">
        <f t="shared" si="158"/>
        <v>0</v>
      </c>
      <c r="F398" s="25">
        <v>26.46</v>
      </c>
      <c r="G398" s="12" t="s">
        <v>14</v>
      </c>
      <c r="H398" s="28">
        <f t="shared" si="163"/>
        <v>26.46</v>
      </c>
      <c r="I398" s="12" t="str">
        <f t="shared" si="164"/>
        <v>Stevens Cyber Defense Team 2</v>
      </c>
      <c r="J398" s="12"/>
      <c r="K398" s="18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>
      <c r="A399" s="12"/>
      <c r="C399" s="12" t="s">
        <v>266</v>
      </c>
      <c r="D399" s="25">
        <v>100</v>
      </c>
      <c r="E399" s="26">
        <f t="shared" si="158"/>
        <v>0</v>
      </c>
      <c r="F399" s="25">
        <v>100</v>
      </c>
      <c r="G399" s="12" t="s">
        <v>14</v>
      </c>
      <c r="H399" s="28">
        <f t="shared" si="163"/>
        <v>100</v>
      </c>
      <c r="I399" s="12" t="str">
        <f t="shared" si="164"/>
        <v>Stevens Cyber Defense Team 3</v>
      </c>
      <c r="J399" s="12"/>
      <c r="K399" s="18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>
      <c r="A400" s="12"/>
      <c r="C400" s="12"/>
      <c r="D400" s="25"/>
      <c r="E400" s="26">
        <f t="shared" si="158"/>
        <v>0</v>
      </c>
      <c r="F400" s="25"/>
      <c r="G400" s="12"/>
      <c r="H400" s="28">
        <f t="shared" si="163"/>
        <v>0</v>
      </c>
      <c r="I400" s="12">
        <f t="shared" si="164"/>
        <v>0</v>
      </c>
      <c r="J400" s="12"/>
      <c r="K400" s="18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>
      <c r="A401" s="12"/>
      <c r="C401" s="12"/>
      <c r="D401" s="25"/>
      <c r="E401" s="26">
        <f t="shared" si="158"/>
        <v>0</v>
      </c>
      <c r="F401" s="25"/>
      <c r="G401" s="12"/>
      <c r="H401" s="28">
        <f t="shared" si="163"/>
        <v>0</v>
      </c>
      <c r="I401" s="12">
        <f t="shared" si="164"/>
        <v>0</v>
      </c>
      <c r="J401" s="12"/>
      <c r="K401" s="18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>
      <c r="A402" s="12"/>
      <c r="C402" s="12"/>
      <c r="D402" s="25"/>
      <c r="E402" s="26">
        <f t="shared" si="158"/>
        <v>0</v>
      </c>
      <c r="F402" s="25"/>
      <c r="G402" s="12"/>
      <c r="H402" s="28">
        <f t="shared" si="163"/>
        <v>0</v>
      </c>
      <c r="I402" s="12">
        <f t="shared" si="164"/>
        <v>0</v>
      </c>
      <c r="J402" s="12"/>
      <c r="K402" s="18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>
      <c r="A403" s="12"/>
      <c r="B403" s="29"/>
      <c r="C403" s="29"/>
      <c r="D403" s="29"/>
      <c r="E403" s="29"/>
      <c r="F403" s="29"/>
      <c r="G403" s="29"/>
      <c r="H403" s="30">
        <v>13141.01</v>
      </c>
      <c r="I403" s="29"/>
      <c r="J403" s="12"/>
      <c r="K403" s="18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>
      <c r="A404" s="12"/>
      <c r="B404" s="23"/>
      <c r="C404" s="23"/>
      <c r="D404" s="23"/>
      <c r="E404" s="23"/>
      <c r="F404" s="23"/>
      <c r="G404" s="23"/>
      <c r="H404" s="23"/>
      <c r="I404" s="24">
        <f>I362-H403</f>
        <v>58160.859999999993</v>
      </c>
      <c r="J404" s="12"/>
      <c r="K404" s="18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>
      <c r="A405" s="12"/>
      <c r="B405" s="12"/>
      <c r="C405" s="49" t="s">
        <v>267</v>
      </c>
      <c r="D405" s="11">
        <v>100</v>
      </c>
      <c r="E405" s="26">
        <f t="shared" ref="E405:E416" si="165">D405-F405</f>
        <v>0</v>
      </c>
      <c r="F405" s="11">
        <v>100</v>
      </c>
      <c r="G405" s="12" t="s">
        <v>14</v>
      </c>
      <c r="H405" s="25">
        <f t="shared" ref="H405:H417" si="166">IF(G405="Approved",F405,0)</f>
        <v>100</v>
      </c>
      <c r="I405" s="12" t="str">
        <f t="shared" ref="I405:I417" si="167">C405</f>
        <v>Habitat for Humanity</v>
      </c>
      <c r="J405" s="12"/>
      <c r="K405" s="18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>
      <c r="A406" s="12"/>
      <c r="B406" s="12"/>
      <c r="C406" s="4" t="s">
        <v>55</v>
      </c>
      <c r="D406" s="11">
        <v>100</v>
      </c>
      <c r="E406" s="26">
        <f t="shared" si="165"/>
        <v>0</v>
      </c>
      <c r="F406" s="11">
        <v>100</v>
      </c>
      <c r="G406" s="12" t="s">
        <v>14</v>
      </c>
      <c r="H406" s="25">
        <f t="shared" si="166"/>
        <v>100</v>
      </c>
      <c r="I406" s="12" t="str">
        <f t="shared" si="167"/>
        <v>OStem</v>
      </c>
      <c r="J406" s="12"/>
      <c r="K406" s="18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>
      <c r="A407" s="12"/>
      <c r="B407" s="12"/>
      <c r="C407" s="4" t="s">
        <v>172</v>
      </c>
      <c r="D407" s="11">
        <v>385.19</v>
      </c>
      <c r="E407" s="26">
        <f t="shared" si="165"/>
        <v>0</v>
      </c>
      <c r="F407" s="11">
        <v>385.19</v>
      </c>
      <c r="G407" s="12" t="s">
        <v>14</v>
      </c>
      <c r="H407" s="25">
        <f t="shared" si="166"/>
        <v>385.19</v>
      </c>
      <c r="I407" s="12" t="str">
        <f t="shared" si="167"/>
        <v>SCDT</v>
      </c>
      <c r="J407" s="12"/>
      <c r="K407" s="18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>
      <c r="A408" s="12"/>
      <c r="B408" s="12"/>
      <c r="C408" s="49" t="s">
        <v>268</v>
      </c>
      <c r="D408" s="11">
        <v>1330</v>
      </c>
      <c r="E408" s="26">
        <f t="shared" si="165"/>
        <v>0</v>
      </c>
      <c r="F408" s="11">
        <v>1330</v>
      </c>
      <c r="G408" s="12" t="s">
        <v>14</v>
      </c>
      <c r="H408" s="25">
        <f t="shared" si="166"/>
        <v>1330</v>
      </c>
      <c r="I408" s="12" t="str">
        <f t="shared" si="167"/>
        <v>Computer and Console Gaming Society 1</v>
      </c>
      <c r="J408" s="12"/>
      <c r="K408" s="18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>
      <c r="A409" s="12"/>
      <c r="B409" s="12"/>
      <c r="C409" s="49" t="s">
        <v>269</v>
      </c>
      <c r="D409" s="11">
        <v>100</v>
      </c>
      <c r="E409" s="26">
        <f t="shared" si="165"/>
        <v>0</v>
      </c>
      <c r="F409" s="11">
        <v>100</v>
      </c>
      <c r="G409" s="12" t="s">
        <v>14</v>
      </c>
      <c r="H409" s="25">
        <f t="shared" si="166"/>
        <v>100</v>
      </c>
      <c r="I409" s="12" t="str">
        <f t="shared" si="167"/>
        <v>Computer and Console Gaming Society 2</v>
      </c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>
      <c r="A410" s="12"/>
      <c r="B410" s="12"/>
      <c r="C410" s="4" t="s">
        <v>82</v>
      </c>
      <c r="D410" s="11">
        <v>500</v>
      </c>
      <c r="E410" s="26">
        <f t="shared" si="165"/>
        <v>500</v>
      </c>
      <c r="F410" s="25">
        <v>0</v>
      </c>
      <c r="G410" s="12" t="s">
        <v>57</v>
      </c>
      <c r="H410" s="25">
        <f t="shared" si="166"/>
        <v>0</v>
      </c>
      <c r="I410" s="12" t="str">
        <f t="shared" si="167"/>
        <v>ALPFA</v>
      </c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>
      <c r="A411" s="12"/>
      <c r="B411" s="12"/>
      <c r="C411" s="4" t="s">
        <v>165</v>
      </c>
      <c r="D411" s="11">
        <v>110.85</v>
      </c>
      <c r="E411" s="26">
        <f t="shared" si="165"/>
        <v>0</v>
      </c>
      <c r="F411" s="11">
        <v>110.85</v>
      </c>
      <c r="G411" s="12" t="s">
        <v>14</v>
      </c>
      <c r="H411" s="25">
        <f t="shared" si="166"/>
        <v>110.85</v>
      </c>
      <c r="I411" s="12" t="str">
        <f t="shared" si="167"/>
        <v>SCG</v>
      </c>
      <c r="J411" s="12"/>
      <c r="K411" s="18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>
      <c r="A412" s="12"/>
      <c r="B412" s="12"/>
      <c r="C412" s="4" t="s">
        <v>270</v>
      </c>
      <c r="D412" s="11">
        <v>675</v>
      </c>
      <c r="E412" s="26">
        <f t="shared" si="165"/>
        <v>0</v>
      </c>
      <c r="F412" s="11">
        <v>675</v>
      </c>
      <c r="G412" s="12" t="s">
        <v>14</v>
      </c>
      <c r="H412" s="25">
        <f t="shared" si="166"/>
        <v>675</v>
      </c>
      <c r="I412" s="12" t="str">
        <f t="shared" si="167"/>
        <v xml:space="preserve">Gear &amp; Triangle </v>
      </c>
      <c r="J412" s="12"/>
      <c r="K412" s="18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>
      <c r="A413" s="12"/>
      <c r="B413" s="12"/>
      <c r="C413" s="4" t="s">
        <v>31</v>
      </c>
      <c r="D413" s="11">
        <v>475</v>
      </c>
      <c r="E413" s="26">
        <f t="shared" si="165"/>
        <v>0</v>
      </c>
      <c r="F413" s="11">
        <v>475</v>
      </c>
      <c r="G413" s="12" t="s">
        <v>14</v>
      </c>
      <c r="H413" s="28">
        <f t="shared" si="166"/>
        <v>475</v>
      </c>
      <c r="I413" s="12" t="str">
        <f t="shared" si="167"/>
        <v>MSA</v>
      </c>
      <c r="J413" s="12"/>
      <c r="K413" s="18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>
      <c r="A414" s="12"/>
      <c r="B414" s="12"/>
      <c r="C414" s="12" t="s">
        <v>107</v>
      </c>
      <c r="D414" s="25">
        <v>92.52</v>
      </c>
      <c r="E414" s="26">
        <f t="shared" si="165"/>
        <v>0</v>
      </c>
      <c r="F414" s="25">
        <v>92.52</v>
      </c>
      <c r="G414" s="12" t="s">
        <v>14</v>
      </c>
      <c r="H414" s="28">
        <f t="shared" si="166"/>
        <v>92.52</v>
      </c>
      <c r="I414" s="12" t="str">
        <f t="shared" si="167"/>
        <v>SWIB 1</v>
      </c>
      <c r="J414" s="12"/>
      <c r="K414" s="18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>
      <c r="A415" s="31"/>
      <c r="B415" s="12"/>
      <c r="C415" s="12" t="s">
        <v>109</v>
      </c>
      <c r="D415" s="25">
        <v>99.07</v>
      </c>
      <c r="E415" s="26">
        <f t="shared" si="165"/>
        <v>0</v>
      </c>
      <c r="F415" s="25">
        <v>99.07</v>
      </c>
      <c r="G415" s="12" t="s">
        <v>14</v>
      </c>
      <c r="H415" s="28">
        <f t="shared" si="166"/>
        <v>99.07</v>
      </c>
      <c r="I415" s="12" t="str">
        <f t="shared" si="167"/>
        <v>SWIB 2</v>
      </c>
      <c r="J415" s="12"/>
      <c r="K415" s="18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>
      <c r="A416" s="12"/>
      <c r="B416" s="12"/>
      <c r="C416" s="12" t="s">
        <v>50</v>
      </c>
      <c r="D416" s="25">
        <v>100</v>
      </c>
      <c r="E416" s="26">
        <f t="shared" si="165"/>
        <v>0</v>
      </c>
      <c r="F416" s="25">
        <v>100</v>
      </c>
      <c r="G416" s="12" t="s">
        <v>14</v>
      </c>
      <c r="H416" s="28">
        <f t="shared" si="166"/>
        <v>100</v>
      </c>
      <c r="I416" s="12" t="str">
        <f t="shared" si="167"/>
        <v>Sikh</v>
      </c>
      <c r="J416" s="12"/>
      <c r="K416" s="18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>
      <c r="A417" s="12"/>
      <c r="B417" s="12"/>
      <c r="C417" s="12" t="s">
        <v>271</v>
      </c>
      <c r="D417" s="25">
        <v>100</v>
      </c>
      <c r="E417" s="26">
        <f>D417-F417</f>
        <v>0</v>
      </c>
      <c r="F417" s="25">
        <v>100</v>
      </c>
      <c r="G417" s="12" t="s">
        <v>14</v>
      </c>
      <c r="H417" s="28">
        <f t="shared" si="166"/>
        <v>100</v>
      </c>
      <c r="I417" s="12" t="str">
        <f t="shared" si="167"/>
        <v>The Stute  1</v>
      </c>
      <c r="J417" s="12"/>
      <c r="K417" s="18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>
      <c r="A418" s="12"/>
      <c r="B418" s="12"/>
      <c r="C418" s="12" t="s">
        <v>272</v>
      </c>
      <c r="D418" s="25">
        <v>595.35</v>
      </c>
      <c r="E418" s="26">
        <f t="shared" ref="E418:E427" si="168">D418-F418</f>
        <v>0</v>
      </c>
      <c r="F418" s="25">
        <v>595.35</v>
      </c>
      <c r="G418" s="12" t="s">
        <v>14</v>
      </c>
      <c r="H418" s="28">
        <f t="shared" ref="H418:H422" si="169">IF(G418="Approved",F418,0)</f>
        <v>595.35</v>
      </c>
      <c r="I418" s="12" t="str">
        <f t="shared" ref="I418:I422" si="170">C418</f>
        <v>The Stute  2</v>
      </c>
      <c r="J418" s="12"/>
      <c r="K418" s="18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>
      <c r="A419" s="12"/>
      <c r="B419" s="12"/>
      <c r="C419" s="12" t="s">
        <v>273</v>
      </c>
      <c r="D419" s="25">
        <v>60</v>
      </c>
      <c r="E419" s="26">
        <f t="shared" si="168"/>
        <v>0</v>
      </c>
      <c r="F419" s="25">
        <v>60</v>
      </c>
      <c r="G419" s="12" t="s">
        <v>14</v>
      </c>
      <c r="H419" s="28">
        <f t="shared" si="169"/>
        <v>60</v>
      </c>
      <c r="I419" s="12" t="str">
        <f t="shared" si="170"/>
        <v>The Stute  3</v>
      </c>
      <c r="J419" s="12"/>
      <c r="K419" s="18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>
      <c r="A420" s="12"/>
      <c r="B420" s="12"/>
      <c r="C420" s="12" t="s">
        <v>216</v>
      </c>
      <c r="D420" s="25">
        <v>843.53</v>
      </c>
      <c r="E420" s="26">
        <f t="shared" si="168"/>
        <v>0</v>
      </c>
      <c r="F420" s="25">
        <v>843.53</v>
      </c>
      <c r="G420" s="12" t="s">
        <v>14</v>
      </c>
      <c r="H420" s="28">
        <f t="shared" si="169"/>
        <v>843.53</v>
      </c>
      <c r="I420" s="12" t="str">
        <f t="shared" si="170"/>
        <v>CSA</v>
      </c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>
      <c r="A421" s="12"/>
      <c r="B421" s="12"/>
      <c r="C421" s="12" t="s">
        <v>200</v>
      </c>
      <c r="D421" s="25">
        <v>33</v>
      </c>
      <c r="E421" s="26">
        <f t="shared" si="168"/>
        <v>0</v>
      </c>
      <c r="F421" s="25">
        <v>33</v>
      </c>
      <c r="G421" s="12" t="s">
        <v>14</v>
      </c>
      <c r="H421" s="28">
        <f t="shared" si="169"/>
        <v>33</v>
      </c>
      <c r="I421" s="12" t="str">
        <f t="shared" si="170"/>
        <v>EmpowerHer 1</v>
      </c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>
      <c r="A422" s="12"/>
      <c r="B422" s="12"/>
      <c r="C422" s="12" t="s">
        <v>15</v>
      </c>
      <c r="D422" s="25">
        <v>3000</v>
      </c>
      <c r="E422" s="26">
        <f t="shared" si="168"/>
        <v>0</v>
      </c>
      <c r="F422" s="25">
        <v>3000</v>
      </c>
      <c r="G422" s="12" t="s">
        <v>14</v>
      </c>
      <c r="H422" s="28">
        <f t="shared" si="169"/>
        <v>3000</v>
      </c>
      <c r="I422" s="12" t="str">
        <f t="shared" si="170"/>
        <v>SDS</v>
      </c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>
      <c r="A423" s="12"/>
      <c r="B423" s="12"/>
      <c r="C423" s="12" t="s">
        <v>56</v>
      </c>
      <c r="D423" s="25">
        <v>175</v>
      </c>
      <c r="E423" s="26">
        <f t="shared" si="168"/>
        <v>19</v>
      </c>
      <c r="F423" s="25">
        <v>156</v>
      </c>
      <c r="G423" s="12" t="s">
        <v>14</v>
      </c>
      <c r="H423" s="28">
        <f t="shared" ref="H423:H427" si="171">IF(G423="Approved",F423,0)</f>
        <v>156</v>
      </c>
      <c r="I423" s="12" t="str">
        <f t="shared" ref="I423:I429" si="172">C423</f>
        <v>SASE</v>
      </c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>
      <c r="A424" s="12"/>
      <c r="B424" s="12"/>
      <c r="C424" s="12" t="s">
        <v>134</v>
      </c>
      <c r="D424" s="25">
        <v>662</v>
      </c>
      <c r="E424" s="26">
        <f t="shared" si="168"/>
        <v>0</v>
      </c>
      <c r="F424" s="25">
        <v>662</v>
      </c>
      <c r="G424" s="12" t="s">
        <v>14</v>
      </c>
      <c r="H424" s="28">
        <f t="shared" si="171"/>
        <v>662</v>
      </c>
      <c r="I424" s="12" t="str">
        <f t="shared" si="172"/>
        <v>SWE</v>
      </c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>
      <c r="A425" s="12"/>
      <c r="B425" s="12"/>
      <c r="C425" s="12" t="s">
        <v>215</v>
      </c>
      <c r="D425" s="25">
        <v>240</v>
      </c>
      <c r="E425" s="26">
        <f t="shared" si="168"/>
        <v>0</v>
      </c>
      <c r="F425" s="25">
        <v>240</v>
      </c>
      <c r="G425" s="12" t="s">
        <v>14</v>
      </c>
      <c r="H425" s="28">
        <f t="shared" si="171"/>
        <v>240</v>
      </c>
      <c r="I425" s="12" t="str">
        <f t="shared" si="172"/>
        <v>SSAI</v>
      </c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>
      <c r="A426" s="12"/>
      <c r="B426" s="12"/>
      <c r="C426" s="12" t="s">
        <v>274</v>
      </c>
      <c r="D426" s="25">
        <v>453.14</v>
      </c>
      <c r="E426" s="26">
        <f t="shared" si="168"/>
        <v>0</v>
      </c>
      <c r="F426" s="25">
        <v>453.14</v>
      </c>
      <c r="G426" s="12" t="s">
        <v>14</v>
      </c>
      <c r="H426" s="28">
        <f t="shared" si="171"/>
        <v>453.14</v>
      </c>
      <c r="I426" s="12" t="str">
        <f t="shared" si="172"/>
        <v>SHPC</v>
      </c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>
      <c r="A427" s="12"/>
      <c r="B427" s="12"/>
      <c r="C427" s="22" t="s">
        <v>244</v>
      </c>
      <c r="D427" s="25">
        <v>126</v>
      </c>
      <c r="E427" s="26">
        <f t="shared" si="168"/>
        <v>0</v>
      </c>
      <c r="F427" s="25">
        <v>126</v>
      </c>
      <c r="G427" s="12" t="s">
        <v>14</v>
      </c>
      <c r="H427" s="28">
        <f t="shared" si="171"/>
        <v>126</v>
      </c>
      <c r="I427" s="12" t="str">
        <f t="shared" si="172"/>
        <v>FAST</v>
      </c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>
      <c r="A428" s="12"/>
      <c r="B428" s="12" t="s">
        <v>208</v>
      </c>
      <c r="C428" s="22" t="s">
        <v>275</v>
      </c>
      <c r="D428" s="25">
        <v>895.18</v>
      </c>
      <c r="E428" s="26">
        <f t="shared" ref="E428:E434" si="173">D428-F428</f>
        <v>0</v>
      </c>
      <c r="F428" s="25">
        <v>895.18</v>
      </c>
      <c r="G428" s="12" t="s">
        <v>14</v>
      </c>
      <c r="H428" s="28">
        <f t="shared" ref="H428:H434" si="174">IF(G428="Approved",F428,0)</f>
        <v>895.18</v>
      </c>
      <c r="I428" s="12" t="str">
        <f t="shared" si="172"/>
        <v xml:space="preserve">Trivia </v>
      </c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>
      <c r="A429" s="12"/>
      <c r="B429" s="12"/>
      <c r="C429" s="12" t="s">
        <v>19</v>
      </c>
      <c r="D429" s="25">
        <v>100</v>
      </c>
      <c r="E429" s="26">
        <f t="shared" si="173"/>
        <v>0</v>
      </c>
      <c r="F429" s="25">
        <v>100</v>
      </c>
      <c r="G429" s="12" t="s">
        <v>14</v>
      </c>
      <c r="H429" s="28">
        <f t="shared" si="174"/>
        <v>100</v>
      </c>
      <c r="I429" s="12" t="str">
        <f t="shared" si="172"/>
        <v>SHPE</v>
      </c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>
      <c r="A430" s="12"/>
      <c r="B430" s="12"/>
      <c r="C430" s="12" t="s">
        <v>39</v>
      </c>
      <c r="D430" s="25">
        <v>395</v>
      </c>
      <c r="E430" s="26">
        <f t="shared" si="173"/>
        <v>395</v>
      </c>
      <c r="F430" s="25">
        <v>0</v>
      </c>
      <c r="G430" s="12" t="s">
        <v>57</v>
      </c>
      <c r="H430" s="28">
        <f t="shared" si="174"/>
        <v>0</v>
      </c>
      <c r="I430" s="12" t="str">
        <f t="shared" ref="I429:I434" si="175">C430</f>
        <v>VSA</v>
      </c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>
      <c r="A431" s="12"/>
      <c r="B431" s="12"/>
      <c r="C431" s="12" t="s">
        <v>201</v>
      </c>
      <c r="D431" s="25">
        <v>268.89</v>
      </c>
      <c r="E431" s="26">
        <f t="shared" si="173"/>
        <v>0</v>
      </c>
      <c r="F431" s="25">
        <v>268.89</v>
      </c>
      <c r="G431" s="12" t="s">
        <v>14</v>
      </c>
      <c r="H431" s="28">
        <f t="shared" si="174"/>
        <v>268.89</v>
      </c>
      <c r="I431" s="12" t="str">
        <f t="shared" si="175"/>
        <v>EmpowerHer 2</v>
      </c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>
      <c r="A432" s="12"/>
      <c r="B432" s="12"/>
      <c r="C432" s="12" t="s">
        <v>276</v>
      </c>
      <c r="D432" s="25">
        <v>199.5</v>
      </c>
      <c r="E432" s="26">
        <f t="shared" si="173"/>
        <v>0</v>
      </c>
      <c r="F432" s="25">
        <v>199.5</v>
      </c>
      <c r="G432" s="12" t="s">
        <v>14</v>
      </c>
      <c r="H432" s="28">
        <f t="shared" si="174"/>
        <v>199.5</v>
      </c>
      <c r="I432" s="12" t="str">
        <f t="shared" si="175"/>
        <v xml:space="preserve">Castle Point Anime Convention </v>
      </c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>
      <c r="A433" s="12"/>
      <c r="B433" s="12"/>
      <c r="C433" s="12" t="s">
        <v>246</v>
      </c>
      <c r="D433" s="25">
        <v>56</v>
      </c>
      <c r="E433" s="26">
        <f t="shared" si="173"/>
        <v>0</v>
      </c>
      <c r="F433" s="25">
        <v>56</v>
      </c>
      <c r="G433" s="12" t="s">
        <v>14</v>
      </c>
      <c r="H433" s="28">
        <f t="shared" si="174"/>
        <v>56</v>
      </c>
      <c r="I433" s="12" t="str">
        <f t="shared" si="175"/>
        <v>LAA</v>
      </c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>
      <c r="A434" s="12"/>
      <c r="B434" s="12"/>
      <c r="C434" s="12" t="s">
        <v>217</v>
      </c>
      <c r="D434" s="25">
        <v>285.76</v>
      </c>
      <c r="E434" s="26">
        <f t="shared" si="173"/>
        <v>0</v>
      </c>
      <c r="F434" s="25">
        <v>285.76</v>
      </c>
      <c r="G434" s="12" t="s">
        <v>14</v>
      </c>
      <c r="H434" s="28">
        <f t="shared" si="174"/>
        <v>285.76</v>
      </c>
      <c r="I434" s="12" t="str">
        <f t="shared" si="175"/>
        <v>SWICS</v>
      </c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>
      <c r="A435" s="12"/>
      <c r="B435" s="12"/>
      <c r="C435" s="12" t="s">
        <v>68</v>
      </c>
      <c r="D435" s="25">
        <v>100</v>
      </c>
      <c r="E435" s="26">
        <f t="shared" ref="E435:E436" si="176">D435-F435</f>
        <v>0</v>
      </c>
      <c r="F435" s="25">
        <v>100</v>
      </c>
      <c r="G435" s="12" t="s">
        <v>14</v>
      </c>
      <c r="H435" s="28">
        <f t="shared" ref="H435:H436" si="177">IF(G435="Approved",F435,0)</f>
        <v>100</v>
      </c>
      <c r="I435" s="12" t="str">
        <f t="shared" ref="I435:I436" si="178">C435</f>
        <v>Poetry Club</v>
      </c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>
      <c r="A436" s="12"/>
      <c r="B436" s="12"/>
      <c r="C436" s="12" t="s">
        <v>13</v>
      </c>
      <c r="D436" s="25">
        <v>964.42</v>
      </c>
      <c r="E436" s="26">
        <f>D436-F436</f>
        <v>0</v>
      </c>
      <c r="F436" s="25">
        <v>964.42</v>
      </c>
      <c r="G436" s="12" t="s">
        <v>14</v>
      </c>
      <c r="H436" s="28">
        <f t="shared" si="177"/>
        <v>964.42</v>
      </c>
      <c r="I436" s="12" t="str">
        <f t="shared" si="178"/>
        <v>SGA</v>
      </c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>
      <c r="A437" s="12"/>
      <c r="B437" s="12"/>
      <c r="C437" s="12" t="s">
        <v>149</v>
      </c>
      <c r="D437" s="25">
        <v>237.47</v>
      </c>
      <c r="E437" s="25">
        <f>D437-F437</f>
        <v>0</v>
      </c>
      <c r="F437" s="25">
        <v>237.47</v>
      </c>
      <c r="G437" s="12" t="s">
        <v>14</v>
      </c>
      <c r="H437" s="28">
        <f t="shared" ref="H437" si="179">IF(G437="Approved",F437,0)</f>
        <v>237.47</v>
      </c>
      <c r="I437" s="12" t="str">
        <f t="shared" ref="I437" si="180">C437</f>
        <v>SASE 2</v>
      </c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>
      <c r="A438" s="12"/>
      <c r="B438" s="29"/>
      <c r="C438" s="29"/>
      <c r="D438" s="30">
        <f>SUM(D405:D437)</f>
        <v>13857.869999999999</v>
      </c>
      <c r="E438" s="29"/>
      <c r="F438" s="29"/>
      <c r="G438" s="29"/>
      <c r="H438" s="30">
        <f>SUM(H405:H437)</f>
        <v>12943.869999999999</v>
      </c>
      <c r="I438" s="29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>
      <c r="A439" s="12"/>
      <c r="B439" s="23"/>
      <c r="C439" s="23"/>
      <c r="D439" s="23"/>
      <c r="E439" s="23"/>
      <c r="F439" s="23"/>
      <c r="G439" s="23"/>
      <c r="H439" s="23"/>
      <c r="I439" s="24">
        <f>I404-H438</f>
        <v>45216.989999999991</v>
      </c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>
      <c r="A440" s="12"/>
      <c r="B440" s="12"/>
      <c r="C440" s="12" t="s">
        <v>20</v>
      </c>
      <c r="D440" s="25">
        <v>82.91</v>
      </c>
      <c r="E440" s="26">
        <f t="shared" ref="E440:F456" si="181">D440-F440</f>
        <v>0</v>
      </c>
      <c r="F440" s="25">
        <v>82.91</v>
      </c>
      <c r="G440" s="12" t="s">
        <v>14</v>
      </c>
      <c r="H440" s="25">
        <f t="shared" ref="H440:H457" si="182">IF(G440="Approved",F440,0)</f>
        <v>82.91</v>
      </c>
      <c r="I440" s="12" t="str">
        <f t="shared" ref="I440:I457" si="183">C440</f>
        <v>MENNA</v>
      </c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>
      <c r="A441" s="12"/>
      <c r="B441" s="12"/>
      <c r="C441" s="12" t="s">
        <v>277</v>
      </c>
      <c r="D441" s="25">
        <v>160.75</v>
      </c>
      <c r="E441" s="26">
        <f t="shared" si="181"/>
        <v>0</v>
      </c>
      <c r="F441" s="25">
        <v>160.75</v>
      </c>
      <c r="G441" s="12" t="s">
        <v>14</v>
      </c>
      <c r="H441" s="25">
        <f t="shared" si="182"/>
        <v>160.75</v>
      </c>
      <c r="I441" s="12" t="str">
        <f t="shared" si="183"/>
        <v>INCOSE 1</v>
      </c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>
      <c r="A442" s="12"/>
      <c r="B442" s="12"/>
      <c r="C442" s="12" t="s">
        <v>101</v>
      </c>
      <c r="D442" s="25">
        <v>1.24</v>
      </c>
      <c r="E442" s="26">
        <f t="shared" si="181"/>
        <v>0</v>
      </c>
      <c r="F442" s="25">
        <v>1.24</v>
      </c>
      <c r="G442" s="12" t="s">
        <v>14</v>
      </c>
      <c r="H442" s="25">
        <f t="shared" si="182"/>
        <v>1.24</v>
      </c>
      <c r="I442" s="12" t="str">
        <f t="shared" si="183"/>
        <v>INCOSE 2</v>
      </c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>
      <c r="A443" s="12"/>
      <c r="B443" s="12"/>
      <c r="C443" s="12" t="s">
        <v>278</v>
      </c>
      <c r="D443" s="25">
        <v>107.73</v>
      </c>
      <c r="E443" s="26">
        <f t="shared" si="181"/>
        <v>0</v>
      </c>
      <c r="F443" s="25">
        <v>107.73</v>
      </c>
      <c r="G443" s="12" t="s">
        <v>14</v>
      </c>
      <c r="H443" s="25">
        <f t="shared" si="182"/>
        <v>107.73</v>
      </c>
      <c r="I443" s="12" t="str">
        <f t="shared" si="183"/>
        <v>Castle Point Book Club</v>
      </c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>
      <c r="A444" s="12"/>
      <c r="B444" s="12"/>
      <c r="C444" s="12" t="s">
        <v>50</v>
      </c>
      <c r="D444" s="25">
        <v>100</v>
      </c>
      <c r="E444" s="26">
        <f t="shared" si="181"/>
        <v>0</v>
      </c>
      <c r="F444" s="25">
        <v>100</v>
      </c>
      <c r="G444" s="12" t="s">
        <v>14</v>
      </c>
      <c r="H444" s="25">
        <f t="shared" si="182"/>
        <v>100</v>
      </c>
      <c r="I444" s="12" t="str">
        <f t="shared" si="183"/>
        <v>Sikh</v>
      </c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>
      <c r="A445" s="12"/>
      <c r="B445" s="12"/>
      <c r="C445" s="12" t="s">
        <v>84</v>
      </c>
      <c r="D445" s="25">
        <v>100</v>
      </c>
      <c r="E445" s="26">
        <f t="shared" si="181"/>
        <v>0</v>
      </c>
      <c r="F445" s="25">
        <v>100</v>
      </c>
      <c r="G445" s="12" t="s">
        <v>14</v>
      </c>
      <c r="H445" s="25">
        <f t="shared" si="182"/>
        <v>100</v>
      </c>
      <c r="I445" s="12" t="str">
        <f t="shared" si="183"/>
        <v>SUMAC</v>
      </c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>
      <c r="A446" s="12"/>
      <c r="B446" s="12"/>
      <c r="C446" s="12" t="s">
        <v>279</v>
      </c>
      <c r="D446" s="25">
        <v>432.53</v>
      </c>
      <c r="E446" s="26">
        <f t="shared" si="181"/>
        <v>0</v>
      </c>
      <c r="F446" s="25">
        <v>432.53</v>
      </c>
      <c r="G446" s="12" t="s">
        <v>14</v>
      </c>
      <c r="H446" s="25">
        <f t="shared" si="182"/>
        <v>432.53</v>
      </c>
      <c r="I446" s="12" t="str">
        <f t="shared" si="183"/>
        <v xml:space="preserve">Click It </v>
      </c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>
      <c r="A447" s="12"/>
      <c r="B447" s="12"/>
      <c r="C447" s="12" t="s">
        <v>54</v>
      </c>
      <c r="D447" s="25">
        <v>202</v>
      </c>
      <c r="E447" s="26">
        <f t="shared" si="181"/>
        <v>185.01</v>
      </c>
      <c r="F447" s="25">
        <v>16.989999999999998</v>
      </c>
      <c r="G447" s="12" t="s">
        <v>14</v>
      </c>
      <c r="H447" s="25">
        <f t="shared" si="182"/>
        <v>16.989999999999998</v>
      </c>
      <c r="I447" s="12" t="str">
        <f t="shared" si="183"/>
        <v>KSA</v>
      </c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>
      <c r="A448" s="12"/>
      <c r="B448" s="12"/>
      <c r="C448" s="12" t="s">
        <v>99</v>
      </c>
      <c r="D448" s="25">
        <v>457.58</v>
      </c>
      <c r="E448" s="26">
        <f t="shared" si="181"/>
        <v>0</v>
      </c>
      <c r="F448" s="25">
        <v>457.58</v>
      </c>
      <c r="G448" s="12" t="s">
        <v>14</v>
      </c>
      <c r="H448" s="28">
        <f t="shared" si="182"/>
        <v>457.58</v>
      </c>
      <c r="I448" s="12" t="str">
        <f t="shared" si="183"/>
        <v>IEEE</v>
      </c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>
      <c r="A449" s="12"/>
      <c r="B449" s="12"/>
      <c r="C449" s="12" t="s">
        <v>17</v>
      </c>
      <c r="D449" s="25">
        <v>270.35000000000002</v>
      </c>
      <c r="E449" s="26">
        <f t="shared" si="181"/>
        <v>0</v>
      </c>
      <c r="F449" s="25">
        <v>270.35000000000002</v>
      </c>
      <c r="G449" s="12" t="s">
        <v>14</v>
      </c>
      <c r="H449" s="28">
        <f t="shared" si="182"/>
        <v>270.35000000000002</v>
      </c>
      <c r="I449" s="12" t="str">
        <f t="shared" si="183"/>
        <v>CSU</v>
      </c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>
      <c r="A450" s="12"/>
      <c r="B450" s="12"/>
      <c r="C450" s="12" t="s">
        <v>280</v>
      </c>
      <c r="D450" s="25">
        <v>800</v>
      </c>
      <c r="E450" s="26">
        <f t="shared" ref="E450:E453" si="184">D450-F450</f>
        <v>0</v>
      </c>
      <c r="F450" s="25">
        <v>800</v>
      </c>
      <c r="G450" s="12" t="s">
        <v>14</v>
      </c>
      <c r="H450" s="28">
        <f t="shared" ref="H450:H453" si="185">IF(G450="Approved",F450,0)</f>
        <v>800</v>
      </c>
      <c r="I450" s="12" t="str">
        <f t="shared" ref="I450:I453" si="186">C450</f>
        <v>Newman Cathlic</v>
      </c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>
      <c r="A451" s="12"/>
      <c r="B451" s="12"/>
      <c r="C451" s="12" t="s">
        <v>62</v>
      </c>
      <c r="D451" s="25">
        <v>466.66</v>
      </c>
      <c r="E451" s="26">
        <f t="shared" si="184"/>
        <v>0</v>
      </c>
      <c r="F451" s="25">
        <v>466.66</v>
      </c>
      <c r="G451" s="12" t="s">
        <v>14</v>
      </c>
      <c r="H451" s="28">
        <f t="shared" si="185"/>
        <v>466.66</v>
      </c>
      <c r="I451" s="12" t="str">
        <f t="shared" si="186"/>
        <v>WCPR</v>
      </c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>
      <c r="A452" s="12"/>
      <c r="B452" s="12"/>
      <c r="C452" s="12" t="s">
        <v>45</v>
      </c>
      <c r="D452" s="25">
        <v>178.14</v>
      </c>
      <c r="E452" s="26">
        <f t="shared" si="184"/>
        <v>0</v>
      </c>
      <c r="F452" s="25">
        <v>178.14</v>
      </c>
      <c r="G452" s="12" t="s">
        <v>14</v>
      </c>
      <c r="H452" s="28">
        <f t="shared" si="185"/>
        <v>178.14</v>
      </c>
      <c r="I452" s="12" t="str">
        <f t="shared" si="186"/>
        <v>Amnesty</v>
      </c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>
      <c r="A453" s="12"/>
      <c r="B453" s="12"/>
      <c r="C453" s="12" t="s">
        <v>34</v>
      </c>
      <c r="D453" s="25">
        <v>100</v>
      </c>
      <c r="E453" s="26">
        <f t="shared" si="184"/>
        <v>0</v>
      </c>
      <c r="F453" s="25">
        <v>100</v>
      </c>
      <c r="G453" s="12" t="s">
        <v>14</v>
      </c>
      <c r="H453" s="28">
        <f t="shared" si="185"/>
        <v>100</v>
      </c>
      <c r="I453" s="12" t="str">
        <f t="shared" si="186"/>
        <v>Jazba</v>
      </c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>
      <c r="A454" s="12"/>
      <c r="B454" s="12"/>
      <c r="C454" s="12" t="s">
        <v>82</v>
      </c>
      <c r="D454" s="25">
        <v>635</v>
      </c>
      <c r="E454" s="26">
        <f t="shared" ref="E454" si="187">D454-F454</f>
        <v>0</v>
      </c>
      <c r="F454" s="25">
        <v>635</v>
      </c>
      <c r="G454" s="12" t="s">
        <v>14</v>
      </c>
      <c r="H454" s="28">
        <f t="shared" ref="H454" si="188">IF(G454="Approved",F454,0)</f>
        <v>635</v>
      </c>
      <c r="I454" s="12" t="str">
        <f t="shared" ref="I454" si="189">C454</f>
        <v>ALPFA</v>
      </c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>
      <c r="A455" s="12"/>
      <c r="B455" s="12"/>
      <c r="C455" s="12" t="s">
        <v>281</v>
      </c>
      <c r="D455" s="25">
        <v>152.47</v>
      </c>
      <c r="E455" s="26">
        <f t="shared" si="181"/>
        <v>0</v>
      </c>
      <c r="F455" s="25">
        <v>152.47</v>
      </c>
      <c r="G455" s="12" t="s">
        <v>14</v>
      </c>
      <c r="H455" s="28">
        <f t="shared" si="182"/>
        <v>152.47</v>
      </c>
      <c r="I455" s="12" t="str">
        <f t="shared" si="183"/>
        <v>EWB</v>
      </c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>
      <c r="A456" s="12"/>
      <c r="B456" s="12"/>
      <c r="C456" s="12" t="s">
        <v>91</v>
      </c>
      <c r="D456" s="25">
        <v>693.2</v>
      </c>
      <c r="E456" s="26">
        <f t="shared" ca="1" si="181"/>
        <v>693.2</v>
      </c>
      <c r="F456" s="26">
        <f t="shared" ca="1" si="181"/>
        <v>693.2</v>
      </c>
      <c r="G456" s="12" t="s">
        <v>14</v>
      </c>
      <c r="H456" s="28">
        <f t="shared" ca="1" si="182"/>
        <v>0</v>
      </c>
      <c r="I456" s="12" t="str">
        <f t="shared" si="183"/>
        <v>SGA 1</v>
      </c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>
      <c r="A457" s="12"/>
      <c r="B457" s="12"/>
      <c r="C457" s="12" t="s">
        <v>92</v>
      </c>
      <c r="D457" s="25">
        <v>1126.44</v>
      </c>
      <c r="E457" s="26">
        <f>D457-F457</f>
        <v>0</v>
      </c>
      <c r="F457" s="25">
        <v>1126.44</v>
      </c>
      <c r="G457" s="12" t="s">
        <v>14</v>
      </c>
      <c r="H457" s="28">
        <f t="shared" si="182"/>
        <v>1126.44</v>
      </c>
      <c r="I457" s="12" t="str">
        <f t="shared" si="183"/>
        <v>SGA 2</v>
      </c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>
      <c r="A458" s="12"/>
      <c r="B458" s="12"/>
      <c r="C458" s="12" t="s">
        <v>93</v>
      </c>
      <c r="D458" s="25">
        <v>515.85</v>
      </c>
      <c r="E458" s="26">
        <f>D458-F458</f>
        <v>0</v>
      </c>
      <c r="F458" s="25">
        <v>515.85</v>
      </c>
      <c r="G458" s="12" t="s">
        <v>14</v>
      </c>
      <c r="H458" s="28">
        <f t="shared" ref="H458" si="190">IF(G458="Approved",F458,0)</f>
        <v>515.85</v>
      </c>
      <c r="I458" s="12" t="str">
        <f t="shared" ref="I458" si="191">C458</f>
        <v>SGA 3</v>
      </c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>
      <c r="A459" s="12"/>
      <c r="B459" s="29"/>
      <c r="C459" s="29"/>
      <c r="D459" s="29"/>
      <c r="E459" s="29"/>
      <c r="F459" s="29"/>
      <c r="G459" s="29"/>
      <c r="H459" s="30">
        <f ca="1">SUM(H440:H457)</f>
        <v>2682.5499999999997</v>
      </c>
      <c r="I459" s="29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>
      <c r="A460" s="12"/>
      <c r="B460" s="12"/>
      <c r="C460" s="12"/>
      <c r="D460" s="25"/>
      <c r="E460" s="26"/>
      <c r="F460" s="25"/>
      <c r="G460" s="12"/>
      <c r="H460" s="25"/>
      <c r="I460" s="12"/>
      <c r="J460" s="12"/>
      <c r="K460" s="18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>
      <c r="A461" s="12"/>
      <c r="B461" s="12"/>
      <c r="C461" s="12"/>
      <c r="D461" s="25"/>
      <c r="E461" s="26"/>
      <c r="F461" s="25"/>
      <c r="G461" s="12"/>
      <c r="H461" s="25"/>
      <c r="I461" s="12"/>
      <c r="J461" s="12"/>
      <c r="K461" s="18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>
      <c r="A462" s="12"/>
      <c r="B462" s="12"/>
      <c r="C462" s="12"/>
      <c r="D462" s="12"/>
      <c r="E462" s="12"/>
      <c r="F462" s="12"/>
      <c r="G462" s="12"/>
      <c r="H462" s="25"/>
      <c r="I462" s="12"/>
      <c r="J462" s="12"/>
      <c r="K462" s="18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>
      <c r="A463" s="12"/>
      <c r="B463" s="12"/>
      <c r="C463" s="12"/>
      <c r="D463" s="12"/>
      <c r="E463" s="12"/>
      <c r="F463" s="12"/>
      <c r="G463" s="12"/>
      <c r="H463" s="12"/>
      <c r="I463" s="25"/>
      <c r="J463" s="12"/>
      <c r="K463" s="18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>
      <c r="A464" s="12"/>
      <c r="B464" s="12"/>
      <c r="C464" s="12"/>
      <c r="D464" s="25"/>
      <c r="E464" s="26"/>
      <c r="F464" s="25"/>
      <c r="G464" s="12"/>
      <c r="H464" s="25"/>
      <c r="I464" s="12"/>
      <c r="J464" s="12"/>
      <c r="K464" s="18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>
      <c r="A465" s="12"/>
      <c r="B465" s="17"/>
      <c r="C465" s="17"/>
      <c r="D465" s="25"/>
      <c r="E465" s="26"/>
      <c r="F465" s="25"/>
      <c r="G465" s="12"/>
      <c r="H465" s="25"/>
      <c r="I465" s="12"/>
      <c r="J465" s="12"/>
      <c r="K465" s="18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>
      <c r="A466" s="12"/>
      <c r="B466" s="17"/>
      <c r="C466" s="17"/>
      <c r="D466" s="25"/>
      <c r="E466" s="26"/>
      <c r="F466" s="25"/>
      <c r="G466" s="12"/>
      <c r="H466" s="25"/>
      <c r="I466" s="12"/>
      <c r="J466" s="12"/>
      <c r="K466" s="18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>
      <c r="A467" s="12"/>
      <c r="B467" s="12"/>
      <c r="C467" s="12"/>
      <c r="D467" s="25"/>
      <c r="E467" s="26"/>
      <c r="F467" s="25"/>
      <c r="G467" s="12"/>
      <c r="H467" s="25"/>
      <c r="I467" s="12"/>
      <c r="J467" s="12"/>
      <c r="K467" s="18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>
      <c r="A468" s="12"/>
      <c r="B468" s="12"/>
      <c r="C468" s="12"/>
      <c r="D468" s="32"/>
      <c r="E468" s="26"/>
      <c r="F468" s="25"/>
      <c r="G468" s="12"/>
      <c r="H468" s="25"/>
      <c r="I468" s="12"/>
      <c r="J468" s="12"/>
      <c r="K468" s="18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>
      <c r="A469" s="31"/>
      <c r="B469" s="12"/>
      <c r="C469" s="12"/>
      <c r="D469" s="25"/>
      <c r="E469" s="26"/>
      <c r="F469" s="25"/>
      <c r="G469" s="12"/>
      <c r="H469" s="25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>
      <c r="A470" s="12"/>
      <c r="B470" s="12"/>
      <c r="C470" s="12"/>
      <c r="D470" s="25"/>
      <c r="E470" s="26"/>
      <c r="F470" s="25"/>
      <c r="G470" s="12"/>
      <c r="H470" s="25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>
      <c r="A471" s="12"/>
      <c r="B471" s="12"/>
      <c r="C471" s="12"/>
      <c r="D471" s="25"/>
      <c r="E471" s="26"/>
      <c r="F471" s="25"/>
      <c r="G471" s="12"/>
      <c r="H471" s="25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>
      <c r="A472" s="12"/>
      <c r="B472" s="12"/>
      <c r="C472" s="12"/>
      <c r="D472" s="33"/>
      <c r="E472" s="26"/>
      <c r="F472" s="25"/>
      <c r="G472" s="12"/>
      <c r="H472" s="25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>
      <c r="A473" s="12"/>
      <c r="B473" s="12"/>
      <c r="C473" s="12"/>
      <c r="D473" s="25"/>
      <c r="E473" s="26"/>
      <c r="F473" s="25"/>
      <c r="G473" s="12"/>
      <c r="H473" s="25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>
      <c r="A474" s="12"/>
      <c r="B474" s="12"/>
      <c r="C474" s="12"/>
      <c r="D474" s="25"/>
      <c r="E474" s="26"/>
      <c r="F474" s="25"/>
      <c r="G474" s="12"/>
      <c r="H474" s="25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>
      <c r="A475" s="12"/>
      <c r="B475" s="12"/>
      <c r="C475" s="12"/>
      <c r="D475" s="25"/>
      <c r="E475" s="26"/>
      <c r="F475" s="25"/>
      <c r="G475" s="12"/>
      <c r="H475" s="25"/>
      <c r="I475" s="12"/>
      <c r="J475" s="12"/>
      <c r="K475" s="20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>
      <c r="A476" s="12"/>
      <c r="B476" s="12"/>
      <c r="C476" s="12"/>
      <c r="D476" s="25"/>
      <c r="E476" s="26"/>
      <c r="F476" s="25"/>
      <c r="G476" s="12"/>
      <c r="H476" s="25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>
      <c r="A477" s="12"/>
      <c r="B477" s="12"/>
      <c r="C477" s="12"/>
      <c r="D477" s="12"/>
      <c r="E477" s="12"/>
      <c r="F477" s="12"/>
      <c r="G477" s="12"/>
      <c r="H477" s="25"/>
      <c r="I477" s="12"/>
      <c r="J477" s="12"/>
      <c r="K477" s="18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>
      <c r="A478" s="12"/>
      <c r="B478" s="12"/>
      <c r="C478" s="12"/>
      <c r="D478" s="12"/>
      <c r="E478" s="12"/>
      <c r="F478" s="12"/>
      <c r="G478" s="12"/>
      <c r="H478" s="12"/>
      <c r="I478" s="25"/>
      <c r="J478" s="12"/>
      <c r="K478" s="16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>
      <c r="A479" s="12"/>
      <c r="B479" s="12"/>
      <c r="C479" s="12"/>
      <c r="D479" s="25"/>
      <c r="E479" s="26"/>
      <c r="F479" s="25"/>
      <c r="G479" s="12"/>
      <c r="H479" s="25"/>
      <c r="I479" s="17"/>
      <c r="J479" s="12"/>
      <c r="K479" s="18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>
      <c r="A480" s="12"/>
      <c r="B480" s="12"/>
      <c r="C480" s="12"/>
      <c r="D480" s="25"/>
      <c r="E480" s="26"/>
      <c r="F480" s="25"/>
      <c r="G480" s="12"/>
      <c r="H480" s="25"/>
      <c r="I480" s="12"/>
      <c r="J480" s="12"/>
      <c r="K480" s="18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>
      <c r="A481" s="12"/>
      <c r="B481" s="12"/>
      <c r="C481" s="12"/>
      <c r="D481" s="25"/>
      <c r="E481" s="26"/>
      <c r="F481" s="25"/>
      <c r="G481" s="12"/>
      <c r="H481" s="25"/>
      <c r="I481" s="12"/>
      <c r="J481" s="12"/>
      <c r="K481" s="18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>
      <c r="A482" s="12"/>
      <c r="B482" s="12"/>
      <c r="C482" s="12"/>
      <c r="D482" s="25"/>
      <c r="E482" s="26"/>
      <c r="F482" s="25"/>
      <c r="G482" s="12"/>
      <c r="H482" s="25"/>
      <c r="I482" s="12"/>
      <c r="J482" s="12"/>
      <c r="K482" s="18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>
      <c r="A483" s="12"/>
      <c r="B483" s="12"/>
      <c r="C483" s="12"/>
      <c r="D483" s="25"/>
      <c r="E483" s="26"/>
      <c r="F483" s="25"/>
      <c r="G483" s="12"/>
      <c r="H483" s="25"/>
      <c r="I483" s="12"/>
      <c r="J483" s="12"/>
      <c r="K483" s="18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>
      <c r="A484" s="31"/>
      <c r="B484" s="12"/>
      <c r="C484" s="12"/>
      <c r="D484" s="25"/>
      <c r="E484" s="26"/>
      <c r="F484" s="25"/>
      <c r="G484" s="12"/>
      <c r="H484" s="25"/>
      <c r="I484" s="19"/>
      <c r="J484" s="12"/>
      <c r="K484" s="18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>
      <c r="A485" s="12"/>
      <c r="B485" s="12"/>
      <c r="C485" s="12"/>
      <c r="D485" s="25"/>
      <c r="E485" s="26"/>
      <c r="F485" s="25"/>
      <c r="G485" s="12"/>
      <c r="H485" s="25"/>
      <c r="I485" s="19"/>
      <c r="J485" s="12"/>
      <c r="K485" s="18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>
      <c r="A486" s="12"/>
      <c r="B486" s="12"/>
      <c r="C486" s="12"/>
      <c r="D486" s="25"/>
      <c r="E486" s="26"/>
      <c r="F486" s="25"/>
      <c r="G486" s="12"/>
      <c r="H486" s="25"/>
      <c r="I486" s="19"/>
      <c r="J486" s="12"/>
      <c r="K486" s="18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>
      <c r="A487" s="12"/>
      <c r="B487" s="12"/>
      <c r="C487" s="12"/>
      <c r="D487" s="25"/>
      <c r="E487" s="26"/>
      <c r="F487" s="25"/>
      <c r="G487" s="12"/>
      <c r="H487" s="25"/>
      <c r="I487" s="12"/>
      <c r="J487" s="12"/>
      <c r="K487" s="18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>
      <c r="A488" s="12"/>
      <c r="B488" s="12"/>
      <c r="C488" s="12"/>
      <c r="D488" s="25"/>
      <c r="E488" s="26"/>
      <c r="F488" s="25"/>
      <c r="G488" s="12"/>
      <c r="H488" s="25"/>
      <c r="I488" s="19"/>
      <c r="J488" s="12"/>
      <c r="K488" s="18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>
      <c r="A489" s="12"/>
      <c r="B489" s="12"/>
      <c r="C489" s="12"/>
      <c r="D489" s="34"/>
      <c r="E489" s="26"/>
      <c r="F489" s="34"/>
      <c r="G489" s="12"/>
      <c r="H489" s="25"/>
      <c r="I489" s="19"/>
      <c r="J489" s="12"/>
      <c r="K489" s="18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>
      <c r="A490" s="12"/>
      <c r="B490" s="12"/>
      <c r="C490" s="12"/>
      <c r="D490" s="34"/>
      <c r="E490" s="26"/>
      <c r="F490" s="25"/>
      <c r="G490" s="12"/>
      <c r="H490" s="25"/>
      <c r="I490" s="19"/>
      <c r="J490" s="12"/>
      <c r="K490" s="18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>
      <c r="A491" s="12"/>
      <c r="B491" s="12"/>
      <c r="C491" s="12"/>
      <c r="D491" s="34"/>
      <c r="E491" s="26"/>
      <c r="F491" s="25"/>
      <c r="G491" s="12"/>
      <c r="H491" s="25"/>
      <c r="I491" s="19"/>
      <c r="J491" s="12"/>
      <c r="K491" s="18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>
      <c r="A492" s="12"/>
      <c r="B492" s="12"/>
      <c r="C492" s="12"/>
      <c r="D492" s="34"/>
      <c r="E492" s="26"/>
      <c r="F492" s="34"/>
      <c r="G492" s="12"/>
      <c r="H492" s="25"/>
      <c r="I492" s="19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>
      <c r="A493" s="12"/>
      <c r="B493" s="12"/>
      <c r="C493" s="12"/>
      <c r="D493" s="34"/>
      <c r="E493" s="26"/>
      <c r="F493" s="25"/>
      <c r="G493" s="12"/>
      <c r="H493" s="25"/>
      <c r="I493" s="19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>
      <c r="A494" s="12"/>
      <c r="B494" s="12"/>
      <c r="C494" s="12"/>
      <c r="D494" s="34"/>
      <c r="E494" s="26"/>
      <c r="F494" s="34"/>
      <c r="G494" s="12"/>
      <c r="H494" s="25"/>
      <c r="I494" s="19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>
      <c r="A495" s="12"/>
      <c r="B495" s="12"/>
      <c r="C495" s="12"/>
      <c r="D495" s="34"/>
      <c r="E495" s="26"/>
      <c r="F495" s="25"/>
      <c r="G495" s="12"/>
      <c r="H495" s="25"/>
      <c r="I495" s="19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>
      <c r="A496" s="12"/>
      <c r="B496" s="12"/>
      <c r="C496" s="12"/>
      <c r="D496" s="34"/>
      <c r="E496" s="26"/>
      <c r="F496" s="25"/>
      <c r="G496" s="12"/>
      <c r="H496" s="25"/>
      <c r="I496" s="19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>
      <c r="A497" s="12"/>
      <c r="B497" s="12"/>
      <c r="C497" s="12"/>
      <c r="D497" s="34"/>
      <c r="E497" s="26"/>
      <c r="F497" s="34"/>
      <c r="G497" s="12"/>
      <c r="H497" s="25"/>
      <c r="I497" s="19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>
      <c r="A498" s="12"/>
      <c r="B498" s="12"/>
      <c r="C498" s="12"/>
      <c r="D498" s="34"/>
      <c r="E498" s="26"/>
      <c r="F498" s="25"/>
      <c r="G498" s="12"/>
      <c r="H498" s="25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>
      <c r="A499" s="12"/>
      <c r="B499" s="12"/>
      <c r="C499" s="12"/>
      <c r="D499" s="34"/>
      <c r="E499" s="26"/>
      <c r="F499" s="34"/>
      <c r="G499" s="12"/>
      <c r="H499" s="25"/>
      <c r="I499" s="19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>
      <c r="A500" s="12"/>
      <c r="B500" s="12"/>
      <c r="C500" s="12"/>
      <c r="D500" s="25"/>
      <c r="E500" s="26"/>
      <c r="F500" s="25"/>
      <c r="G500" s="12"/>
      <c r="H500" s="25"/>
      <c r="I500" s="19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>
      <c r="A501" s="12"/>
      <c r="B501" s="12"/>
      <c r="C501" s="12"/>
      <c r="D501" s="25"/>
      <c r="E501" s="26"/>
      <c r="F501" s="25"/>
      <c r="G501" s="12"/>
      <c r="H501" s="25"/>
      <c r="I501" s="19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>
      <c r="A502" s="12"/>
      <c r="B502" s="12"/>
      <c r="C502" s="12"/>
      <c r="D502" s="25"/>
      <c r="E502" s="26"/>
      <c r="F502" s="25"/>
      <c r="G502" s="12"/>
      <c r="H502" s="25"/>
      <c r="I502" s="19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>
      <c r="A503" s="12"/>
      <c r="B503" s="12"/>
      <c r="C503" s="35"/>
      <c r="D503" s="34"/>
      <c r="E503" s="26"/>
      <c r="F503" s="34"/>
      <c r="G503" s="12"/>
      <c r="H503" s="25"/>
      <c r="I503" s="19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>
      <c r="A504" s="12"/>
      <c r="B504" s="12"/>
      <c r="C504" s="12"/>
      <c r="D504" s="25"/>
      <c r="E504" s="26"/>
      <c r="F504" s="25"/>
      <c r="G504" s="12"/>
      <c r="H504" s="25"/>
      <c r="I504" s="19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>
      <c r="A505" s="12"/>
      <c r="B505" s="12"/>
      <c r="C505" s="12"/>
      <c r="D505" s="25"/>
      <c r="E505" s="26"/>
      <c r="F505" s="25"/>
      <c r="G505" s="12"/>
      <c r="H505" s="25"/>
      <c r="I505" s="19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>
      <c r="A506" s="12"/>
      <c r="B506" s="12"/>
      <c r="C506" s="12"/>
      <c r="D506" s="12"/>
      <c r="E506" s="12"/>
      <c r="F506" s="12"/>
      <c r="G506" s="12"/>
      <c r="H506" s="25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>
      <c r="A507" s="12"/>
      <c r="B507" s="12"/>
      <c r="C507" s="12"/>
      <c r="D507" s="12"/>
      <c r="E507" s="12"/>
      <c r="F507" s="12"/>
      <c r="G507" s="12"/>
      <c r="H507" s="12"/>
      <c r="I507" s="25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>
      <c r="A508" s="12"/>
      <c r="B508" s="12"/>
      <c r="C508" s="12"/>
      <c r="D508" s="25"/>
      <c r="E508" s="26"/>
      <c r="F508" s="25"/>
      <c r="G508" s="12"/>
      <c r="H508" s="25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>
      <c r="A509" s="12"/>
      <c r="B509" s="17"/>
      <c r="C509" s="17"/>
      <c r="D509" s="25"/>
      <c r="E509" s="26"/>
      <c r="F509" s="25"/>
      <c r="G509" s="12"/>
      <c r="H509" s="25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>
      <c r="A510" s="12"/>
      <c r="B510" s="17"/>
      <c r="C510" s="17"/>
      <c r="D510" s="25"/>
      <c r="E510" s="26"/>
      <c r="F510" s="25"/>
      <c r="G510" s="12"/>
      <c r="H510" s="25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>
      <c r="A511" s="12"/>
      <c r="B511" s="12"/>
      <c r="C511" s="12"/>
      <c r="D511" s="25"/>
      <c r="E511" s="26"/>
      <c r="F511" s="25"/>
      <c r="G511" s="12"/>
      <c r="H511" s="25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>
      <c r="A512" s="12"/>
      <c r="B512" s="12"/>
      <c r="C512" s="12"/>
      <c r="D512" s="32"/>
      <c r="E512" s="26"/>
      <c r="F512" s="25"/>
      <c r="G512" s="12"/>
      <c r="H512" s="25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>
      <c r="A513" s="12"/>
      <c r="B513" s="12"/>
      <c r="C513" s="12"/>
      <c r="D513" s="25"/>
      <c r="E513" s="26"/>
      <c r="F513" s="25"/>
      <c r="G513" s="12"/>
      <c r="H513" s="25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>
      <c r="A514" s="12"/>
      <c r="B514" s="12"/>
      <c r="C514" s="12"/>
      <c r="D514" s="25"/>
      <c r="E514" s="26"/>
      <c r="F514" s="25"/>
      <c r="G514" s="12"/>
      <c r="H514" s="25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>
      <c r="A515" s="12"/>
      <c r="B515" s="12"/>
      <c r="C515" s="12"/>
      <c r="D515" s="25"/>
      <c r="E515" s="26"/>
      <c r="F515" s="25"/>
      <c r="G515" s="12"/>
      <c r="H515" s="25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>
      <c r="A516" s="12"/>
      <c r="B516" s="12"/>
      <c r="C516" s="12"/>
      <c r="D516" s="33"/>
      <c r="E516" s="26"/>
      <c r="F516" s="25"/>
      <c r="G516" s="12"/>
      <c r="H516" s="25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>
      <c r="A517" s="12"/>
      <c r="B517" s="12"/>
      <c r="C517" s="12"/>
      <c r="D517" s="25"/>
      <c r="E517" s="26"/>
      <c r="F517" s="25"/>
      <c r="G517" s="12"/>
      <c r="H517" s="25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>
      <c r="A518" s="12"/>
      <c r="B518" s="12"/>
      <c r="C518" s="12"/>
      <c r="D518" s="25"/>
      <c r="E518" s="26"/>
      <c r="F518" s="25"/>
      <c r="G518" s="12"/>
      <c r="H518" s="25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>
      <c r="A519" s="12"/>
      <c r="B519" s="12"/>
      <c r="C519" s="12"/>
      <c r="D519" s="25"/>
      <c r="E519" s="26"/>
      <c r="F519" s="25"/>
      <c r="G519" s="12"/>
      <c r="H519" s="25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>
      <c r="A520" s="12"/>
      <c r="B520" s="12"/>
      <c r="C520" s="12"/>
      <c r="D520" s="25"/>
      <c r="E520" s="26"/>
      <c r="F520" s="25"/>
      <c r="G520" s="12"/>
      <c r="H520" s="25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>
      <c r="A521" s="12"/>
      <c r="B521" s="12"/>
      <c r="C521" s="12"/>
      <c r="D521" s="12"/>
      <c r="E521" s="12"/>
      <c r="F521" s="12"/>
      <c r="G521" s="12"/>
      <c r="H521" s="25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>
      <c r="A522" s="12"/>
      <c r="B522" s="12"/>
      <c r="C522" s="12"/>
      <c r="D522" s="12"/>
      <c r="E522" s="12"/>
      <c r="F522" s="12"/>
      <c r="G522" s="12"/>
      <c r="H522" s="12"/>
      <c r="I522" s="25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>
      <c r="A523" s="12"/>
      <c r="B523" s="17"/>
      <c r="C523" s="17"/>
      <c r="D523" s="25"/>
      <c r="E523" s="26"/>
      <c r="F523" s="25"/>
      <c r="G523" s="12"/>
      <c r="H523" s="25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>
      <c r="A524" s="12"/>
      <c r="B524" s="17"/>
      <c r="C524" s="17"/>
      <c r="D524" s="25"/>
      <c r="E524" s="26"/>
      <c r="F524" s="25"/>
      <c r="G524" s="12"/>
      <c r="H524" s="25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>
      <c r="A525" s="12"/>
      <c r="B525" s="12"/>
      <c r="C525" s="12"/>
      <c r="D525" s="25"/>
      <c r="E525" s="26"/>
      <c r="F525" s="25"/>
      <c r="G525" s="12"/>
      <c r="H525" s="25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>
      <c r="A526" s="12"/>
      <c r="B526" s="12"/>
      <c r="C526" s="12"/>
      <c r="D526" s="32"/>
      <c r="E526" s="26"/>
      <c r="F526" s="32"/>
      <c r="G526" s="12"/>
      <c r="H526" s="25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>
      <c r="A527" s="12"/>
      <c r="B527" s="12"/>
      <c r="C527" s="12"/>
      <c r="D527" s="25"/>
      <c r="E527" s="26"/>
      <c r="F527" s="25"/>
      <c r="G527" s="12"/>
      <c r="H527" s="25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>
      <c r="A528" s="12"/>
      <c r="B528" s="12"/>
      <c r="C528" s="12"/>
      <c r="D528" s="25"/>
      <c r="E528" s="26"/>
      <c r="F528" s="25"/>
      <c r="G528" s="12"/>
      <c r="H528" s="25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>
      <c r="A529" s="12"/>
      <c r="B529" s="12"/>
      <c r="C529" s="17"/>
      <c r="D529" s="25"/>
      <c r="E529" s="26"/>
      <c r="F529" s="25"/>
      <c r="G529" s="12"/>
      <c r="H529" s="25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>
      <c r="A530" s="12"/>
      <c r="B530" s="12"/>
      <c r="C530" s="12"/>
      <c r="D530" s="32"/>
      <c r="E530" s="26"/>
      <c r="F530" s="32"/>
      <c r="G530" s="12"/>
      <c r="H530" s="25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>
      <c r="A531" s="12"/>
      <c r="B531" s="12"/>
      <c r="C531" s="12"/>
      <c r="D531" s="33"/>
      <c r="E531" s="26"/>
      <c r="F531" s="33"/>
      <c r="G531" s="12"/>
      <c r="H531" s="25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>
      <c r="A532" s="12"/>
      <c r="B532" s="12"/>
      <c r="C532" s="12"/>
      <c r="D532" s="25"/>
      <c r="E532" s="26"/>
      <c r="F532" s="25"/>
      <c r="G532" s="12"/>
      <c r="H532" s="25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>
      <c r="A533" s="12"/>
      <c r="B533" s="12"/>
      <c r="C533" s="12"/>
      <c r="D533" s="25"/>
      <c r="E533" s="26"/>
      <c r="F533" s="25"/>
      <c r="G533" s="12"/>
      <c r="H533" s="25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>
      <c r="A534" s="12"/>
      <c r="B534" s="12"/>
      <c r="C534" s="12"/>
      <c r="D534" s="25"/>
      <c r="E534" s="26"/>
      <c r="F534" s="25"/>
      <c r="G534" s="12"/>
      <c r="H534" s="25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>
      <c r="A535" s="12"/>
      <c r="B535" s="12"/>
      <c r="C535" s="12"/>
      <c r="D535" s="25"/>
      <c r="E535" s="26"/>
      <c r="F535" s="25"/>
      <c r="G535" s="12"/>
      <c r="H535" s="25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>
      <c r="A536" s="12"/>
      <c r="B536" s="12"/>
      <c r="C536" s="12"/>
      <c r="D536" s="25"/>
      <c r="E536" s="26"/>
      <c r="F536" s="25"/>
      <c r="G536" s="12"/>
      <c r="H536" s="25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>
      <c r="A537" s="12"/>
      <c r="B537" s="12"/>
      <c r="C537" s="12"/>
      <c r="D537" s="25"/>
      <c r="E537" s="26"/>
      <c r="F537" s="25"/>
      <c r="G537" s="12"/>
      <c r="H537" s="25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>
      <c r="A538" s="12"/>
      <c r="B538" s="12"/>
      <c r="C538" s="12"/>
      <c r="D538" s="25"/>
      <c r="E538" s="26"/>
      <c r="F538" s="25"/>
      <c r="G538" s="12"/>
      <c r="H538" s="25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>
      <c r="A539" s="12"/>
      <c r="B539" s="12"/>
      <c r="C539" s="12"/>
      <c r="D539" s="25"/>
      <c r="E539" s="26"/>
      <c r="F539" s="25"/>
      <c r="G539" s="12"/>
      <c r="H539" s="25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>
      <c r="A540" s="12"/>
      <c r="B540" s="12"/>
      <c r="C540" s="12"/>
      <c r="D540" s="25"/>
      <c r="E540" s="26"/>
      <c r="F540" s="25"/>
      <c r="G540" s="12"/>
      <c r="H540" s="25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>
      <c r="A541" s="12"/>
      <c r="B541" s="12"/>
      <c r="C541" s="12"/>
      <c r="D541" s="25"/>
      <c r="E541" s="26"/>
      <c r="F541" s="25"/>
      <c r="G541" s="12"/>
      <c r="H541" s="25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>
      <c r="A542" s="12"/>
      <c r="B542" s="12"/>
      <c r="C542" s="12"/>
      <c r="D542" s="25"/>
      <c r="E542" s="26"/>
      <c r="F542" s="25"/>
      <c r="G542" s="12"/>
      <c r="H542" s="25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>
      <c r="A543" s="12"/>
      <c r="B543" s="12"/>
      <c r="C543" s="12"/>
      <c r="D543" s="12"/>
      <c r="E543" s="12"/>
      <c r="F543" s="12"/>
      <c r="G543" s="12"/>
      <c r="H543" s="25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>
      <c r="A544" s="12"/>
      <c r="B544" s="12"/>
      <c r="C544" s="12"/>
      <c r="D544" s="12"/>
      <c r="E544" s="12"/>
      <c r="F544" s="12"/>
      <c r="G544" s="12"/>
      <c r="H544" s="12"/>
      <c r="I544" s="25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</row>
    <row r="756" spans="1:27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</row>
    <row r="757" spans="1:2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</row>
    <row r="758" spans="1:27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</row>
    <row r="759" spans="1:27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</row>
    <row r="760" spans="1:27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</row>
    <row r="761" spans="1:27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</row>
    <row r="762" spans="1:27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</row>
    <row r="763" spans="1:27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</row>
    <row r="764" spans="1:27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</row>
    <row r="765" spans="1:27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</row>
    <row r="766" spans="1:27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</row>
    <row r="767" spans="1:2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</row>
    <row r="768" spans="1:27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</row>
    <row r="769" spans="1:1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</row>
    <row r="770" spans="1:1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</row>
    <row r="771" spans="1:1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</row>
    <row r="772" spans="1:1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</row>
    <row r="773" spans="1:1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</row>
    <row r="774" spans="1:1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</row>
    <row r="775" spans="1:1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</row>
    <row r="776" spans="1:1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</row>
    <row r="777" spans="1:1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</row>
    <row r="778" spans="1:1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</row>
    <row r="779" spans="1:1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</row>
    <row r="780" spans="1:1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</row>
    <row r="781" spans="1:1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</row>
    <row r="782" spans="1:1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</row>
    <row r="783" spans="1:1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</row>
    <row r="784" spans="1:1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</row>
    <row r="785" spans="1:12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</row>
    <row r="786" spans="1:12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</row>
    <row r="787" spans="1:12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</row>
    <row r="788" spans="1:12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</row>
    <row r="789" spans="1:12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</row>
    <row r="790" spans="1:12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</row>
    <row r="791" spans="1:12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</row>
    <row r="792" spans="1:1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</row>
    <row r="793" spans="1:12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</row>
    <row r="794" spans="1:12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</row>
    <row r="795" spans="1:12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</row>
    <row r="796" spans="1:12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</row>
    <row r="797" spans="1:12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</row>
    <row r="798" spans="1:12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</row>
    <row r="799" spans="1:12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</row>
    <row r="800" spans="1:12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</row>
    <row r="801" spans="1:12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</row>
    <row r="802" spans="1:1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</row>
    <row r="803" spans="1:12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</row>
    <row r="804" spans="1:12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</row>
    <row r="805" spans="1:12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</row>
    <row r="806" spans="1:12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</row>
    <row r="807" spans="1:12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</row>
    <row r="808" spans="1:12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</row>
    <row r="809" spans="1:12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</row>
    <row r="810" spans="1:12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</row>
    <row r="811" spans="1:12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</row>
    <row r="812" spans="1: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</row>
    <row r="813" spans="1:12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</row>
    <row r="814" spans="1:12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</row>
    <row r="815" spans="1:12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</row>
    <row r="816" spans="1:12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</row>
    <row r="817" spans="1:12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</row>
    <row r="818" spans="1:12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</row>
    <row r="819" spans="1:12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</row>
    <row r="820" spans="1:12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</row>
    <row r="821" spans="1:12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</row>
    <row r="822" spans="1:1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</row>
    <row r="823" spans="1:12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</row>
    <row r="824" spans="1:12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</row>
    <row r="825" spans="1:12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</row>
    <row r="826" spans="1:12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</row>
    <row r="827" spans="1:12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</row>
    <row r="828" spans="1:12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</row>
    <row r="829" spans="1:12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</row>
    <row r="830" spans="1:12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</row>
    <row r="831" spans="1:12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</row>
    <row r="832" spans="1:1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</row>
    <row r="833" spans="1:11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</row>
    <row r="834" spans="1:11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</row>
    <row r="835" spans="1:11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</row>
    <row r="836" spans="1:11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</row>
    <row r="837" spans="1:11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</row>
    <row r="838" spans="1:11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</row>
    <row r="839" spans="1:11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</row>
    <row r="840" spans="1:11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</row>
    <row r="841" spans="1:1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</row>
    <row r="842" spans="1:11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</row>
    <row r="843" spans="1:11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</row>
    <row r="844" spans="1:11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</row>
    <row r="845" spans="1:11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</row>
    <row r="846" spans="1:11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</row>
    <row r="847" spans="1:11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</row>
    <row r="848" spans="1:11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</row>
    <row r="849" spans="1:11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</row>
    <row r="850" spans="1:11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</row>
    <row r="851" spans="1:1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</row>
    <row r="852" spans="1:11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</row>
    <row r="853" spans="1:11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</row>
    <row r="854" spans="1:11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</row>
    <row r="855" spans="1:11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</row>
    <row r="856" spans="1:11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</row>
    <row r="857" spans="1:11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</row>
    <row r="858" spans="1:11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</row>
    <row r="859" spans="1:11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</row>
    <row r="860" spans="1:11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</row>
    <row r="861" spans="1:1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</row>
    <row r="862" spans="1:11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</row>
    <row r="863" spans="1:11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</row>
    <row r="864" spans="1:11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</row>
    <row r="865" spans="1:11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</row>
    <row r="866" spans="1:11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</row>
    <row r="867" spans="1:11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</row>
    <row r="868" spans="1:11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</row>
    <row r="869" spans="1:11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</row>
    <row r="870" spans="1:11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</row>
    <row r="871" spans="1:1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</row>
    <row r="872" spans="1:11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</row>
    <row r="873" spans="1:11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</row>
    <row r="874" spans="1:11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</row>
    <row r="875" spans="1:11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</row>
    <row r="876" spans="1:11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</row>
    <row r="877" spans="1:11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</row>
    <row r="878" spans="1:11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</row>
    <row r="879" spans="1:11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</row>
    <row r="880" spans="1:11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</row>
    <row r="881" spans="1:1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</row>
    <row r="882" spans="1:11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</row>
    <row r="883" spans="1:11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</row>
    <row r="884" spans="1:11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</row>
    <row r="885" spans="1:11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</row>
    <row r="886" spans="1:11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</row>
    <row r="887" spans="1:11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</row>
    <row r="888" spans="1:11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</row>
    <row r="889" spans="1:11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</row>
    <row r="890" spans="1:11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</row>
    <row r="891" spans="1:1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</row>
    <row r="892" spans="1:11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</row>
    <row r="893" spans="1:11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</row>
    <row r="894" spans="1:11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</row>
    <row r="895" spans="1:11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</row>
    <row r="896" spans="1:11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</row>
    <row r="897" spans="1:11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</row>
    <row r="898" spans="1:11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</row>
    <row r="899" spans="1:11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</row>
    <row r="900" spans="1:11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</row>
    <row r="901" spans="1:1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</row>
    <row r="902" spans="1:11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</row>
    <row r="903" spans="1:11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</row>
    <row r="904" spans="1:11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</row>
    <row r="905" spans="1:11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</row>
    <row r="906" spans="1:11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</row>
    <row r="907" spans="1:11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</row>
    <row r="908" spans="1:11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</row>
    <row r="909" spans="1:11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</row>
    <row r="910" spans="1:11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</row>
    <row r="911" spans="1: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</row>
    <row r="912" spans="1:11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</row>
    <row r="913" spans="1:11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</row>
    <row r="914" spans="1:11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</row>
    <row r="915" spans="1:11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</row>
    <row r="916" spans="1:11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</row>
    <row r="917" spans="1:11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</row>
    <row r="918" spans="1:11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</row>
    <row r="919" spans="1:11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</row>
    <row r="920" spans="1:11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</row>
    <row r="921" spans="1:1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</row>
    <row r="922" spans="1:11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</row>
    <row r="923" spans="1:11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</row>
    <row r="924" spans="1:11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</row>
    <row r="925" spans="1:11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</row>
    <row r="926" spans="1:11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</row>
    <row r="927" spans="1:11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</row>
    <row r="928" spans="1:11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</row>
    <row r="929" spans="1:11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</row>
    <row r="930" spans="1:11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</row>
    <row r="931" spans="1:1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</row>
    <row r="932" spans="1:11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</row>
    <row r="933" spans="1:11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</row>
    <row r="934" spans="1:11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</row>
    <row r="935" spans="1:11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</row>
    <row r="936" spans="1:11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</row>
    <row r="937" spans="1:11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</row>
    <row r="938" spans="1:11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</row>
    <row r="939" spans="1:11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</row>
    <row r="940" spans="1:11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</row>
    <row r="941" spans="1:1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</row>
    <row r="942" spans="1:11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</row>
    <row r="943" spans="1:11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</row>
    <row r="944" spans="1:11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</row>
    <row r="945" spans="1:11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</row>
    <row r="946" spans="1:11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</row>
    <row r="947" spans="1:11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</row>
    <row r="948" spans="1:11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</row>
    <row r="949" spans="1:11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</row>
    <row r="950" spans="1:11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</row>
    <row r="951" spans="1:1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</row>
    <row r="952" spans="1:11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</row>
    <row r="953" spans="1:11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</row>
    <row r="954" spans="1:11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</row>
    <row r="955" spans="1:11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</row>
    <row r="956" spans="1:11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</row>
    <row r="957" spans="1:11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</row>
    <row r="958" spans="1:11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</row>
    <row r="959" spans="1:11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</row>
    <row r="960" spans="1:11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</row>
    <row r="961" spans="1:10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</row>
    <row r="962" spans="1:10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</row>
    <row r="963" spans="1:10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</row>
    <row r="964" spans="1:10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</row>
    <row r="965" spans="1:10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</row>
    <row r="966" spans="1:10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</row>
    <row r="967" spans="1:10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</row>
    <row r="968" spans="1:10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</row>
    <row r="969" spans="1:10" ht="15.75" customHeight="1">
      <c r="B969" s="12"/>
      <c r="C969" s="12"/>
      <c r="D969" s="12"/>
      <c r="E969" s="12"/>
      <c r="F969" s="12"/>
      <c r="G969" s="12"/>
      <c r="H969" s="12"/>
      <c r="I969" s="12"/>
      <c r="J969" s="12"/>
    </row>
    <row r="970" spans="1:10" ht="15.75" customHeight="1">
      <c r="B970" s="12"/>
      <c r="C970" s="12"/>
      <c r="D970" s="12"/>
      <c r="E970" s="12"/>
      <c r="F970" s="12"/>
      <c r="G970" s="12"/>
      <c r="H970" s="12"/>
      <c r="I970" s="12"/>
      <c r="J970" s="12"/>
    </row>
    <row r="971" spans="1:10" ht="15.75" customHeight="1">
      <c r="B971" s="12"/>
      <c r="C971" s="12"/>
      <c r="D971" s="12"/>
      <c r="E971" s="12"/>
      <c r="F971" s="12"/>
      <c r="G971" s="12"/>
      <c r="H971" s="12"/>
      <c r="I971" s="12"/>
      <c r="J971" s="12"/>
    </row>
    <row r="972" spans="1:10" ht="15.75" customHeight="1">
      <c r="B972" s="12"/>
      <c r="C972" s="12"/>
      <c r="D972" s="12"/>
      <c r="E972" s="12"/>
      <c r="F972" s="12"/>
      <c r="G972" s="12"/>
      <c r="H972" s="12"/>
      <c r="I972" s="12"/>
      <c r="J972" s="12"/>
    </row>
    <row r="973" spans="1:10" ht="15.75" customHeight="1">
      <c r="B973" s="12"/>
      <c r="C973" s="12"/>
      <c r="D973" s="12"/>
      <c r="E973" s="12"/>
      <c r="F973" s="12"/>
      <c r="G973" s="12"/>
      <c r="H973" s="12"/>
      <c r="I973" s="12"/>
      <c r="J973" s="12"/>
    </row>
    <row r="974" spans="1:10" ht="15.75" customHeight="1">
      <c r="B974" s="12"/>
      <c r="C974" s="12"/>
      <c r="D974" s="12"/>
      <c r="E974" s="12"/>
      <c r="F974" s="12"/>
      <c r="G974" s="12"/>
      <c r="H974" s="12"/>
      <c r="I974" s="12"/>
      <c r="J974" s="12"/>
    </row>
    <row r="975" spans="1:10" ht="15.75" customHeight="1">
      <c r="B975" s="12"/>
      <c r="C975" s="12"/>
      <c r="D975" s="12"/>
      <c r="E975" s="12"/>
      <c r="F975" s="12"/>
      <c r="G975" s="12"/>
      <c r="H975" s="12"/>
      <c r="I975" s="12"/>
      <c r="J975" s="12"/>
    </row>
    <row r="976" spans="1:10" ht="15.75" customHeight="1">
      <c r="B976" s="12"/>
      <c r="C976" s="12"/>
      <c r="D976" s="12"/>
      <c r="E976" s="12"/>
      <c r="F976" s="12"/>
      <c r="G976" s="12"/>
      <c r="H976" s="12"/>
      <c r="I976" s="12"/>
      <c r="J976" s="12"/>
    </row>
    <row r="977" spans="2:10" ht="15.75" customHeight="1">
      <c r="B977" s="12"/>
      <c r="C977" s="12"/>
      <c r="D977" s="12"/>
      <c r="E977" s="12"/>
      <c r="F977" s="12"/>
      <c r="G977" s="12"/>
      <c r="H977" s="12"/>
      <c r="I977" s="12"/>
      <c r="J977" s="12"/>
    </row>
    <row r="978" spans="2:10" ht="15.75" customHeight="1">
      <c r="B978" s="12"/>
      <c r="C978" s="12"/>
      <c r="D978" s="12"/>
      <c r="E978" s="12"/>
      <c r="F978" s="12"/>
      <c r="G978" s="12"/>
      <c r="H978" s="12"/>
      <c r="I978" s="12"/>
      <c r="J978" s="12"/>
    </row>
    <row r="979" spans="2:10" ht="15.75" customHeight="1">
      <c r="B979" s="12"/>
      <c r="C979" s="12"/>
      <c r="D979" s="12"/>
      <c r="E979" s="12"/>
      <c r="F979" s="12"/>
      <c r="G979" s="12"/>
      <c r="H979" s="12"/>
      <c r="I979" s="12"/>
      <c r="J979" s="12"/>
    </row>
    <row r="980" spans="2:10" ht="15.75" customHeight="1">
      <c r="B980" s="12"/>
      <c r="C980" s="12"/>
      <c r="D980" s="12"/>
      <c r="E980" s="12"/>
      <c r="F980" s="12"/>
      <c r="G980" s="12"/>
      <c r="H980" s="12"/>
      <c r="I980" s="12"/>
      <c r="J980" s="12"/>
    </row>
    <row r="981" spans="2:10" ht="15.75" customHeight="1">
      <c r="B981" s="12"/>
      <c r="C981" s="12"/>
      <c r="D981" s="12"/>
      <c r="E981" s="12"/>
      <c r="F981" s="12"/>
      <c r="G981" s="12"/>
      <c r="H981" s="12"/>
      <c r="I981" s="12"/>
      <c r="J981" s="12"/>
    </row>
    <row r="982" spans="2:10" ht="15.75" customHeight="1">
      <c r="B982" s="12"/>
      <c r="C982" s="12"/>
      <c r="D982" s="12"/>
      <c r="E982" s="12"/>
      <c r="F982" s="12"/>
      <c r="G982" s="12"/>
      <c r="H982" s="12"/>
      <c r="I982" s="12"/>
      <c r="J982" s="12"/>
    </row>
    <row r="983" spans="2:10" ht="15.75" customHeight="1">
      <c r="B983" s="12"/>
      <c r="C983" s="12"/>
      <c r="D983" s="12"/>
      <c r="E983" s="12"/>
      <c r="F983" s="12"/>
      <c r="G983" s="12"/>
      <c r="H983" s="12"/>
      <c r="I983" s="12"/>
      <c r="J983" s="12"/>
    </row>
    <row r="984" spans="2:10" ht="15.75" customHeight="1">
      <c r="B984" s="12"/>
      <c r="C984" s="12"/>
      <c r="D984" s="12"/>
      <c r="E984" s="12"/>
      <c r="F984" s="12"/>
      <c r="G984" s="12"/>
      <c r="H984" s="12"/>
      <c r="I984" s="12"/>
      <c r="J984" s="12"/>
    </row>
    <row r="985" spans="2:10" ht="15.75" customHeight="1">
      <c r="B985" s="12"/>
      <c r="C985" s="12"/>
      <c r="D985" s="12"/>
      <c r="E985" s="12"/>
      <c r="F985" s="12"/>
      <c r="G985" s="12"/>
      <c r="H985" s="12"/>
      <c r="I985" s="12"/>
      <c r="J985" s="12"/>
    </row>
    <row r="986" spans="2:10" ht="15.75" customHeight="1">
      <c r="B986" s="12"/>
      <c r="C986" s="12"/>
      <c r="D986" s="12"/>
      <c r="E986" s="12"/>
      <c r="F986" s="12"/>
      <c r="G986" s="12"/>
      <c r="H986" s="12"/>
      <c r="I986" s="12"/>
      <c r="J986" s="12"/>
    </row>
    <row r="987" spans="2:10" ht="15.75" customHeight="1">
      <c r="B987" s="12"/>
      <c r="C987" s="12"/>
      <c r="D987" s="12"/>
      <c r="E987" s="12"/>
      <c r="F987" s="12"/>
      <c r="G987" s="12"/>
      <c r="H987" s="12"/>
      <c r="I987" s="12"/>
      <c r="J987" s="12"/>
    </row>
    <row r="988" spans="2:10" ht="15.75" customHeight="1">
      <c r="B988" s="12"/>
      <c r="C988" s="12"/>
      <c r="D988" s="12"/>
      <c r="E988" s="12"/>
      <c r="F988" s="12"/>
      <c r="G988" s="12"/>
      <c r="H988" s="12"/>
      <c r="I988" s="12"/>
      <c r="J988" s="12"/>
    </row>
    <row r="989" spans="2:10" ht="15.75" customHeight="1">
      <c r="B989" s="12"/>
      <c r="C989" s="12"/>
      <c r="D989" s="12"/>
      <c r="E989" s="12"/>
      <c r="F989" s="12"/>
      <c r="G989" s="12"/>
      <c r="H989" s="12"/>
      <c r="I989" s="12"/>
      <c r="J989" s="12"/>
    </row>
    <row r="990" spans="2:10" ht="15.75" customHeight="1">
      <c r="B990" s="12"/>
      <c r="C990" s="12"/>
      <c r="D990" s="12"/>
      <c r="E990" s="12"/>
      <c r="F990" s="12"/>
      <c r="G990" s="12"/>
      <c r="H990" s="12"/>
      <c r="I990" s="12"/>
      <c r="J990" s="12"/>
    </row>
    <row r="991" spans="2:10" ht="15.75" customHeight="1">
      <c r="B991" s="12"/>
      <c r="C991" s="12"/>
      <c r="D991" s="12"/>
      <c r="E991" s="12"/>
      <c r="F991" s="12"/>
      <c r="G991" s="12"/>
      <c r="H991" s="12"/>
      <c r="I991" s="12"/>
      <c r="J991" s="12"/>
    </row>
    <row r="992" spans="2:10" ht="15.75" customHeight="1">
      <c r="B992" s="12"/>
      <c r="C992" s="12"/>
      <c r="D992" s="12"/>
      <c r="E992" s="12"/>
      <c r="F992" s="12"/>
      <c r="G992" s="12"/>
      <c r="H992" s="12"/>
      <c r="I992" s="12"/>
      <c r="J992" s="12"/>
    </row>
    <row r="993" spans="2:10" ht="15.75" customHeight="1">
      <c r="B993" s="12"/>
      <c r="C993" s="12"/>
      <c r="D993" s="12"/>
      <c r="E993" s="12"/>
      <c r="F993" s="12"/>
      <c r="G993" s="12"/>
      <c r="H993" s="12"/>
      <c r="I993" s="12"/>
      <c r="J993" s="12"/>
    </row>
    <row r="994" spans="2:10" ht="15.75" customHeight="1">
      <c r="B994" s="12"/>
      <c r="C994" s="12"/>
      <c r="D994" s="12"/>
      <c r="E994" s="12"/>
      <c r="F994" s="12"/>
      <c r="G994" s="12"/>
      <c r="H994" s="12"/>
      <c r="I994" s="12"/>
      <c r="J994" s="12"/>
    </row>
    <row r="995" spans="2:10" ht="15.75" customHeight="1">
      <c r="B995" s="12"/>
      <c r="C995" s="12"/>
      <c r="D995" s="12"/>
      <c r="E995" s="12"/>
      <c r="F995" s="12"/>
      <c r="G995" s="12"/>
      <c r="H995" s="12"/>
      <c r="I995" s="12"/>
      <c r="J995" s="12"/>
    </row>
    <row r="996" spans="2:10" ht="15.75" customHeight="1">
      <c r="B996" s="12"/>
      <c r="C996" s="12"/>
      <c r="D996" s="12"/>
      <c r="E996" s="12"/>
      <c r="F996" s="12"/>
      <c r="G996" s="12"/>
      <c r="H996" s="12"/>
      <c r="I996" s="12"/>
      <c r="J996" s="12"/>
    </row>
    <row r="997" spans="2:10" ht="15.75" customHeight="1">
      <c r="B997" s="12"/>
      <c r="C997" s="12"/>
      <c r="D997" s="12"/>
      <c r="E997" s="12"/>
      <c r="F997" s="12"/>
      <c r="G997" s="12"/>
      <c r="H997" s="12"/>
      <c r="I997" s="12"/>
      <c r="J997" s="12"/>
    </row>
    <row r="998" spans="2:10" ht="15.75" customHeight="1">
      <c r="B998" s="12"/>
      <c r="C998" s="12"/>
      <c r="D998" s="12"/>
      <c r="E998" s="12"/>
      <c r="F998" s="12"/>
      <c r="G998" s="12"/>
      <c r="H998" s="12"/>
      <c r="I998" s="12"/>
      <c r="J998" s="12"/>
    </row>
    <row r="999" spans="2:10" ht="15.75" customHeight="1">
      <c r="B999" s="12"/>
      <c r="C999" s="12"/>
      <c r="D999" s="12"/>
      <c r="E999" s="12"/>
      <c r="F999" s="12"/>
      <c r="G999" s="12"/>
      <c r="H999" s="12"/>
      <c r="I999" s="12"/>
      <c r="J999" s="12"/>
    </row>
    <row r="1000" spans="2:10" ht="15.75" customHeight="1">
      <c r="B1000" s="12"/>
      <c r="C1000" s="12"/>
      <c r="D1000" s="12"/>
      <c r="E1000" s="12"/>
      <c r="F1000" s="12"/>
      <c r="G1000" s="12"/>
      <c r="H1000" s="12"/>
      <c r="I1000" s="12"/>
      <c r="J1000" s="12"/>
    </row>
    <row r="1001" spans="2:10" ht="15.75" customHeight="1">
      <c r="B1001" s="12"/>
      <c r="C1001" s="12"/>
      <c r="D1001" s="12"/>
      <c r="E1001" s="12"/>
      <c r="F1001" s="12"/>
      <c r="G1001" s="12"/>
      <c r="H1001" s="12"/>
      <c r="I1001" s="12"/>
      <c r="J1001" s="12"/>
    </row>
    <row r="1002" spans="2:10" ht="15.75" customHeight="1">
      <c r="B1002" s="12"/>
      <c r="C1002" s="12"/>
      <c r="D1002" s="12"/>
      <c r="E1002" s="12"/>
      <c r="F1002" s="12"/>
      <c r="G1002" s="12"/>
      <c r="H1002" s="12"/>
      <c r="I1002" s="12"/>
      <c r="J1002" s="12"/>
    </row>
    <row r="1003" spans="2:10" ht="15.75" customHeight="1">
      <c r="B1003" s="12"/>
      <c r="C1003" s="12"/>
      <c r="D1003" s="12"/>
      <c r="E1003" s="12"/>
      <c r="F1003" s="12"/>
      <c r="G1003" s="12"/>
      <c r="H1003" s="12"/>
      <c r="I1003" s="12"/>
      <c r="J1003" s="12"/>
    </row>
    <row r="1004" spans="2:10" ht="15.75" customHeight="1">
      <c r="B1004" s="12"/>
      <c r="C1004" s="12"/>
      <c r="D1004" s="12"/>
      <c r="E1004" s="12"/>
      <c r="F1004" s="12"/>
      <c r="G1004" s="12"/>
      <c r="H1004" s="12"/>
      <c r="I1004" s="12"/>
      <c r="J1004" s="12"/>
    </row>
    <row r="1005" spans="2:10" ht="15.75" customHeight="1">
      <c r="B1005" s="12"/>
      <c r="C1005" s="12"/>
      <c r="D1005" s="12"/>
      <c r="E1005" s="12"/>
      <c r="F1005" s="12"/>
      <c r="G1005" s="12"/>
      <c r="H1005" s="12"/>
      <c r="I1005" s="12"/>
      <c r="J1005" s="12"/>
    </row>
    <row r="1006" spans="2:10" ht="15.75" customHeight="1">
      <c r="B1006" s="12"/>
      <c r="C1006" s="12"/>
      <c r="D1006" s="12"/>
      <c r="E1006" s="12"/>
      <c r="F1006" s="12"/>
      <c r="G1006" s="12"/>
      <c r="H1006" s="12"/>
      <c r="I1006" s="12"/>
      <c r="J1006" s="12"/>
    </row>
  </sheetData>
  <dataValidations count="2">
    <dataValidation type="list" allowBlank="1" sqref="J464:J476 J479:J505 J508:J520 J523:J542 J4:J59 J62:J103 J106:J193 J196:J237 J240:J296 J299:J361 J364:J403 J406:J461" xr:uid="{00000000-0002-0000-0000-000000000000}">
      <formula1>"Yes,No,Pending,N/A"</formula1>
    </dataValidation>
    <dataValidation type="list" allowBlank="1" showErrorMessage="1" sqref="G523:G542 G464:G476 G479:G505 G508:G520 G460:G461 G3:G15 G56:G94 G18:G53 G97:G145 G148:G186 G189:G230 G233:G265 G268:G294 G334:G360 G363:G402 G405:G437 G297:G331 G440:G458" xr:uid="{00000000-0002-0000-0000-000001000000}">
      <formula1>"Approved,Denied,TBD"</formula1>
    </dataValidation>
  </dataValidations>
  <hyperlinks>
    <hyperlink ref="C172" r:id="rId1" xr:uid="{4EC7DC44-4FED-4B3F-AFCC-567DF230BBC3}"/>
  </hyperlinks>
  <printOptions horizontalCentered="1" gridLines="1"/>
  <pageMargins left="0.7" right="0.7" top="0.75" bottom="0.75" header="0" footer="0"/>
  <pageSetup fitToHeight="0" pageOrder="overThenDown" orientation="landscape" cellComments="atEnd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857"/>
  <sheetViews>
    <sheetView topLeftCell="A138" workbookViewId="0">
      <selection activeCell="C151" sqref="C151"/>
    </sheetView>
  </sheetViews>
  <sheetFormatPr defaultColWidth="12.5703125" defaultRowHeight="15.75" customHeight="1"/>
  <cols>
    <col min="1" max="1" width="17.7109375" customWidth="1"/>
    <col min="2" max="2" width="18.85546875" customWidth="1"/>
    <col min="4" max="4" width="19.140625" customWidth="1"/>
    <col min="5" max="5" width="20.5703125" customWidth="1"/>
    <col min="7" max="7" width="21.7109375" customWidth="1"/>
    <col min="8" max="8" width="27.42578125" bestFit="1" customWidth="1"/>
  </cols>
  <sheetData>
    <row r="1" spans="1:23" ht="15.75" customHeight="1">
      <c r="A1" s="1">
        <v>0</v>
      </c>
      <c r="B1" s="2" t="s">
        <v>1</v>
      </c>
      <c r="C1" s="2" t="s">
        <v>282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5.75" customHeight="1">
      <c r="A2" s="5"/>
      <c r="B2" s="5"/>
      <c r="C2" s="5"/>
      <c r="D2" s="5"/>
      <c r="E2" s="5"/>
      <c r="F2" s="5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>
      <c r="A3" s="6"/>
      <c r="B3" s="7"/>
      <c r="C3" s="7"/>
      <c r="D3" s="7"/>
      <c r="E3" s="7"/>
      <c r="F3" s="7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5.75" customHeight="1">
      <c r="A4" s="8"/>
      <c r="B4" s="4"/>
      <c r="C4" s="9"/>
      <c r="D4" s="10">
        <f t="shared" ref="D4:D14" si="0">C4-E4</f>
        <v>0</v>
      </c>
      <c r="E4" s="9"/>
      <c r="F4" s="4"/>
      <c r="G4" s="11">
        <f t="shared" ref="G4:G14" si="1">IF(F4="Approved",E4,0)</f>
        <v>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5.75" customHeight="1">
      <c r="A5" s="4"/>
      <c r="B5" s="4"/>
      <c r="C5" s="11"/>
      <c r="D5" s="10">
        <f t="shared" si="0"/>
        <v>0</v>
      </c>
      <c r="E5" s="11"/>
      <c r="F5" s="4"/>
      <c r="G5" s="11">
        <f t="shared" si="1"/>
        <v>0</v>
      </c>
      <c r="H5" s="13"/>
      <c r="I5" s="1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5.75" customHeight="1">
      <c r="A6" s="4"/>
      <c r="B6" s="4"/>
      <c r="C6" s="11"/>
      <c r="D6" s="10">
        <f t="shared" si="0"/>
        <v>0</v>
      </c>
      <c r="E6" s="11"/>
      <c r="F6" s="4"/>
      <c r="G6" s="11">
        <f t="shared" si="1"/>
        <v>0</v>
      </c>
      <c r="H6" s="13"/>
      <c r="I6" s="1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5.75" customHeight="1">
      <c r="A7" s="4"/>
      <c r="B7" s="4"/>
      <c r="C7" s="11"/>
      <c r="D7" s="10">
        <f t="shared" si="0"/>
        <v>0</v>
      </c>
      <c r="E7" s="11"/>
      <c r="F7" s="4"/>
      <c r="G7" s="11">
        <f t="shared" si="1"/>
        <v>0</v>
      </c>
      <c r="H7" s="13"/>
      <c r="I7" s="1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 customHeight="1">
      <c r="A8" s="4"/>
      <c r="B8" s="4"/>
      <c r="C8" s="11"/>
      <c r="D8" s="10">
        <f t="shared" si="0"/>
        <v>0</v>
      </c>
      <c r="E8" s="11"/>
      <c r="F8" s="4"/>
      <c r="G8" s="11">
        <f t="shared" si="1"/>
        <v>0</v>
      </c>
      <c r="H8" s="13"/>
      <c r="I8" s="1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5.75" customHeight="1">
      <c r="A9" s="4"/>
      <c r="B9" s="4"/>
      <c r="C9" s="11"/>
      <c r="D9" s="10">
        <f t="shared" si="0"/>
        <v>0</v>
      </c>
      <c r="E9" s="11"/>
      <c r="F9" s="4"/>
      <c r="G9" s="11">
        <f t="shared" si="1"/>
        <v>0</v>
      </c>
      <c r="H9" s="13"/>
      <c r="I9" s="1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 customHeight="1">
      <c r="A10" s="4"/>
      <c r="B10" s="4"/>
      <c r="C10" s="11"/>
      <c r="D10" s="10">
        <f t="shared" si="0"/>
        <v>0</v>
      </c>
      <c r="E10" s="11"/>
      <c r="F10" s="4"/>
      <c r="G10" s="11">
        <f t="shared" si="1"/>
        <v>0</v>
      </c>
      <c r="H10" s="13"/>
      <c r="I10" s="1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5.75" customHeight="1">
      <c r="A11" s="4"/>
      <c r="B11" s="4"/>
      <c r="C11" s="11"/>
      <c r="D11" s="10">
        <f t="shared" si="0"/>
        <v>0</v>
      </c>
      <c r="E11" s="11"/>
      <c r="F11" s="4"/>
      <c r="G11" s="11">
        <f t="shared" si="1"/>
        <v>0</v>
      </c>
      <c r="H11" s="13"/>
      <c r="I11" s="1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 customHeight="1">
      <c r="A12" s="4"/>
      <c r="B12" s="4"/>
      <c r="C12" s="11"/>
      <c r="D12" s="10">
        <f t="shared" si="0"/>
        <v>0</v>
      </c>
      <c r="E12" s="11"/>
      <c r="F12" s="4"/>
      <c r="G12" s="11">
        <f t="shared" si="1"/>
        <v>0</v>
      </c>
      <c r="H12" s="13"/>
      <c r="I12" s="1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5.75" customHeight="1">
      <c r="A13" s="4"/>
      <c r="B13" s="4"/>
      <c r="C13" s="11"/>
      <c r="D13" s="10">
        <f t="shared" si="0"/>
        <v>0</v>
      </c>
      <c r="E13" s="11"/>
      <c r="F13" s="4"/>
      <c r="G13" s="11">
        <f t="shared" si="1"/>
        <v>0</v>
      </c>
      <c r="H13" s="13"/>
      <c r="I13" s="1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 customHeight="1">
      <c r="A14" s="4"/>
      <c r="B14" s="4"/>
      <c r="C14" s="9"/>
      <c r="D14" s="10">
        <f t="shared" si="0"/>
        <v>0</v>
      </c>
      <c r="E14" s="11"/>
      <c r="F14" s="4"/>
      <c r="G14" s="14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5.75" customHeight="1">
      <c r="A15" s="5"/>
      <c r="B15" s="5"/>
      <c r="C15" s="5"/>
      <c r="D15" s="5"/>
      <c r="E15" s="5"/>
      <c r="F15" s="5"/>
      <c r="G15" s="15">
        <f>SUM(G4:G14)</f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 customHeight="1">
      <c r="A16" s="6"/>
      <c r="B16" s="7"/>
      <c r="C16" s="7"/>
      <c r="D16" s="7"/>
      <c r="E16" s="7"/>
      <c r="F16" s="7"/>
      <c r="G16" s="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5.75" customHeight="1">
      <c r="A17" s="8"/>
      <c r="B17" s="4" t="s">
        <v>146</v>
      </c>
      <c r="C17" t="s">
        <v>141</v>
      </c>
      <c r="D17" s="10">
        <f>C18-E17</f>
        <v>50</v>
      </c>
      <c r="E17" s="9"/>
      <c r="F17" s="4"/>
      <c r="G17" s="11">
        <f t="shared" ref="G17:G27" si="2">IF(F17="Approved",E17,0)</f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5.75" customHeight="1">
      <c r="A18" s="4"/>
      <c r="B18" s="36" t="s">
        <v>283</v>
      </c>
      <c r="C18" s="9">
        <v>50</v>
      </c>
      <c r="D18" s="10" t="e">
        <f>#REF!-E18</f>
        <v>#REF!</v>
      </c>
      <c r="E18" s="11">
        <v>50</v>
      </c>
      <c r="F18" s="4"/>
      <c r="G18" s="11">
        <f t="shared" si="2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5.75" customHeight="1">
      <c r="A19" s="4"/>
      <c r="B19" s="4"/>
      <c r="C19" s="36"/>
      <c r="D19" s="10"/>
      <c r="E19" s="11"/>
      <c r="F19" s="4"/>
      <c r="G19" s="11">
        <f t="shared" si="2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5.75" customHeight="1">
      <c r="A20" s="4"/>
      <c r="B20" s="4"/>
      <c r="C20" s="11"/>
      <c r="D20" s="10">
        <f t="shared" ref="D20:D27" si="3">C20-E20</f>
        <v>0</v>
      </c>
      <c r="E20" s="11"/>
      <c r="F20" s="4"/>
      <c r="G20" s="11">
        <f t="shared" si="2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.75" customHeight="1">
      <c r="A21" s="4"/>
      <c r="B21" s="4"/>
      <c r="C21" s="11"/>
      <c r="D21" s="10">
        <f t="shared" si="3"/>
        <v>0</v>
      </c>
      <c r="E21" s="11"/>
      <c r="F21" s="4"/>
      <c r="G21" s="11">
        <f t="shared" si="2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5.75" customHeight="1">
      <c r="A22" s="4"/>
      <c r="B22" s="4"/>
      <c r="C22" s="11"/>
      <c r="D22" s="10">
        <f t="shared" si="3"/>
        <v>0</v>
      </c>
      <c r="E22" s="11"/>
      <c r="F22" s="4"/>
      <c r="G22" s="11">
        <f t="shared" si="2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5.75" customHeight="1">
      <c r="A23" s="4"/>
      <c r="B23" s="4"/>
      <c r="C23" s="11"/>
      <c r="D23" s="10">
        <f t="shared" si="3"/>
        <v>0</v>
      </c>
      <c r="E23" s="11"/>
      <c r="F23" s="4"/>
      <c r="G23" s="11">
        <f t="shared" si="2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5.75" customHeight="1">
      <c r="A24" s="4"/>
      <c r="B24" s="4"/>
      <c r="C24" s="11"/>
      <c r="D24" s="10">
        <f t="shared" si="3"/>
        <v>0</v>
      </c>
      <c r="E24" s="11"/>
      <c r="F24" s="4"/>
      <c r="G24" s="11">
        <f t="shared" si="2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5.75" customHeight="1">
      <c r="A25" s="4"/>
      <c r="B25" s="4"/>
      <c r="C25" s="11"/>
      <c r="D25" s="10">
        <f t="shared" si="3"/>
        <v>0</v>
      </c>
      <c r="E25" s="11"/>
      <c r="F25" s="4"/>
      <c r="G25" s="11">
        <f t="shared" si="2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5.75" customHeight="1">
      <c r="A26" s="4"/>
      <c r="B26" s="4"/>
      <c r="C26" s="11"/>
      <c r="D26" s="10">
        <f t="shared" si="3"/>
        <v>0</v>
      </c>
      <c r="E26" s="11"/>
      <c r="F26" s="4"/>
      <c r="G26" s="11">
        <f t="shared" si="2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5.75" customHeight="1">
      <c r="A27" s="4"/>
      <c r="B27" s="4"/>
      <c r="C27" s="9"/>
      <c r="D27" s="10">
        <f t="shared" si="3"/>
        <v>0</v>
      </c>
      <c r="E27" s="11"/>
      <c r="F27" s="4"/>
      <c r="G27" s="14">
        <f t="shared" si="2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5.75" customHeight="1">
      <c r="A28" s="5"/>
      <c r="B28" s="5"/>
      <c r="C28" s="5"/>
      <c r="D28" s="5"/>
      <c r="E28" s="5"/>
      <c r="F28" s="5"/>
      <c r="G28" s="15">
        <f>SUM(G17:G27)</f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5.75" customHeight="1">
      <c r="A29" s="6"/>
      <c r="B29" s="7"/>
      <c r="C29" s="7"/>
      <c r="D29" s="7"/>
      <c r="E29" s="7"/>
      <c r="F29" s="7"/>
      <c r="G29" s="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5.75" customHeight="1">
      <c r="A30" s="8"/>
      <c r="B30" s="4" t="s">
        <v>284</v>
      </c>
      <c r="C30" s="9">
        <v>1000</v>
      </c>
      <c r="D30" s="10">
        <f t="shared" ref="D30:D40" si="4">C30-E30</f>
        <v>1000</v>
      </c>
      <c r="E30" s="9"/>
      <c r="F30" s="4"/>
      <c r="G30" s="11">
        <f t="shared" ref="G30:G40" si="5">IF(F30="Approved",E30,0)</f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5.75" customHeight="1">
      <c r="A31" s="4"/>
      <c r="B31" s="4" t="s">
        <v>99</v>
      </c>
      <c r="C31" s="11">
        <v>100</v>
      </c>
      <c r="D31" s="10">
        <f t="shared" si="4"/>
        <v>100</v>
      </c>
      <c r="E31" s="11"/>
      <c r="F31" s="4"/>
      <c r="G31" s="11">
        <f t="shared" si="5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5.75" customHeight="1">
      <c r="A32" s="4"/>
      <c r="B32" s="4" t="s">
        <v>285</v>
      </c>
      <c r="C32" s="11">
        <v>958</v>
      </c>
      <c r="D32" s="10">
        <f t="shared" si="4"/>
        <v>958</v>
      </c>
      <c r="E32" s="11"/>
      <c r="F32" s="4"/>
      <c r="G32" s="11">
        <f t="shared" si="5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5.75" customHeight="1">
      <c r="A33" s="4"/>
      <c r="B33" s="4" t="s">
        <v>84</v>
      </c>
      <c r="C33" s="11">
        <v>100</v>
      </c>
      <c r="D33" s="10">
        <f t="shared" si="4"/>
        <v>100</v>
      </c>
      <c r="E33" s="11"/>
      <c r="F33" s="4"/>
      <c r="G33" s="11">
        <f t="shared" si="5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5.75" customHeight="1">
      <c r="A34" s="4"/>
      <c r="B34" s="4"/>
      <c r="C34" s="11"/>
      <c r="D34" s="10">
        <f t="shared" si="4"/>
        <v>0</v>
      </c>
      <c r="E34" s="11"/>
      <c r="F34" s="4"/>
      <c r="G34" s="11">
        <f t="shared" si="5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5.75" customHeight="1">
      <c r="A35" s="4"/>
      <c r="B35" s="4"/>
      <c r="C35" s="11"/>
      <c r="D35" s="10">
        <f t="shared" si="4"/>
        <v>0</v>
      </c>
      <c r="E35" s="11"/>
      <c r="F35" s="4"/>
      <c r="G35" s="11">
        <f t="shared" si="5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5.75" customHeight="1">
      <c r="A36" s="4"/>
      <c r="B36" s="4"/>
      <c r="C36" s="11"/>
      <c r="D36" s="10">
        <f t="shared" si="4"/>
        <v>0</v>
      </c>
      <c r="E36" s="11"/>
      <c r="F36" s="4"/>
      <c r="G36" s="11">
        <f t="shared" si="5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5.75" customHeight="1">
      <c r="A37" s="4"/>
      <c r="B37" s="4"/>
      <c r="C37" s="11"/>
      <c r="D37" s="10">
        <f t="shared" si="4"/>
        <v>0</v>
      </c>
      <c r="E37" s="11"/>
      <c r="F37" s="4"/>
      <c r="G37" s="11">
        <f t="shared" si="5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5.75" customHeight="1">
      <c r="A38" s="4"/>
      <c r="B38" s="4"/>
      <c r="C38" s="11"/>
      <c r="D38" s="10">
        <f t="shared" si="4"/>
        <v>0</v>
      </c>
      <c r="E38" s="11"/>
      <c r="F38" s="4"/>
      <c r="G38" s="11">
        <f t="shared" si="5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5.75" customHeight="1">
      <c r="A39" s="4"/>
      <c r="B39" s="4"/>
      <c r="C39" s="11"/>
      <c r="D39" s="10">
        <f t="shared" si="4"/>
        <v>0</v>
      </c>
      <c r="E39" s="11"/>
      <c r="F39" s="4"/>
      <c r="G39" s="11">
        <f t="shared" si="5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customHeight="1">
      <c r="A40" s="4"/>
      <c r="B40" s="4"/>
      <c r="C40" s="9"/>
      <c r="D40" s="10">
        <f t="shared" si="4"/>
        <v>0</v>
      </c>
      <c r="E40" s="11"/>
      <c r="F40" s="4"/>
      <c r="G40" s="14">
        <f t="shared" si="5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customHeight="1">
      <c r="A41" s="5"/>
      <c r="B41" s="5"/>
      <c r="C41" s="5"/>
      <c r="D41" s="5"/>
      <c r="E41" s="5"/>
      <c r="F41" s="5"/>
      <c r="G41" s="15">
        <f>SUM(G30:G40)</f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customHeight="1">
      <c r="A42" s="6"/>
      <c r="B42" s="7"/>
      <c r="C42" s="7"/>
      <c r="D42" s="7"/>
      <c r="E42" s="7"/>
      <c r="F42" s="7"/>
      <c r="G42" s="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5.75" customHeight="1">
      <c r="A43" s="8"/>
      <c r="B43" s="4" t="s">
        <v>31</v>
      </c>
      <c r="C43" s="9">
        <v>108</v>
      </c>
      <c r="D43" s="10">
        <f t="shared" ref="D43:D53" si="6">C43-E43</f>
        <v>108</v>
      </c>
      <c r="E43" s="9"/>
      <c r="F43" s="4"/>
      <c r="G43" s="11">
        <f t="shared" ref="G43:G53" si="7">IF(F43="Approved",E43,0)</f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5.75" customHeight="1">
      <c r="A44" s="4"/>
      <c r="B44" s="4" t="s">
        <v>286</v>
      </c>
      <c r="C44" s="11">
        <v>4.82</v>
      </c>
      <c r="D44" s="10">
        <f t="shared" si="6"/>
        <v>4.82</v>
      </c>
      <c r="E44" s="11"/>
      <c r="F44" s="4"/>
      <c r="G44" s="11">
        <f t="shared" si="7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5.75" customHeight="1">
      <c r="A45" s="4"/>
      <c r="B45" s="4"/>
      <c r="C45" s="11"/>
      <c r="D45" s="10">
        <f t="shared" si="6"/>
        <v>0</v>
      </c>
      <c r="E45" s="11"/>
      <c r="F45" s="4"/>
      <c r="G45" s="11">
        <f t="shared" si="7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5.75" customHeight="1">
      <c r="A46" s="4"/>
      <c r="B46" s="4"/>
      <c r="C46" s="11"/>
      <c r="D46" s="10">
        <f t="shared" si="6"/>
        <v>0</v>
      </c>
      <c r="E46" s="11"/>
      <c r="F46" s="4"/>
      <c r="G46" s="11">
        <f t="shared" si="7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5.75" customHeight="1">
      <c r="A47" s="4"/>
      <c r="B47" s="4"/>
      <c r="C47" s="11"/>
      <c r="D47" s="10">
        <f t="shared" si="6"/>
        <v>0</v>
      </c>
      <c r="E47" s="11"/>
      <c r="F47" s="4"/>
      <c r="G47" s="11">
        <f t="shared" si="7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5.75" customHeight="1">
      <c r="A48" s="4"/>
      <c r="B48" s="4"/>
      <c r="C48" s="11"/>
      <c r="D48" s="10">
        <f t="shared" si="6"/>
        <v>0</v>
      </c>
      <c r="E48" s="11"/>
      <c r="F48" s="4"/>
      <c r="G48" s="11">
        <f t="shared" si="7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5.75" customHeight="1">
      <c r="A49" s="4"/>
      <c r="B49" s="4"/>
      <c r="C49" s="11"/>
      <c r="D49" s="10">
        <f t="shared" si="6"/>
        <v>0</v>
      </c>
      <c r="E49" s="11"/>
      <c r="F49" s="4"/>
      <c r="G49" s="11">
        <f t="shared" si="7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5.75" customHeight="1">
      <c r="A50" s="4"/>
      <c r="B50" s="4"/>
      <c r="C50" s="11"/>
      <c r="D50" s="10">
        <f t="shared" si="6"/>
        <v>0</v>
      </c>
      <c r="E50" s="11"/>
      <c r="F50" s="4"/>
      <c r="G50" s="11">
        <f t="shared" si="7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5.4">
      <c r="A51" s="4"/>
      <c r="B51" s="4"/>
      <c r="C51" s="11"/>
      <c r="D51" s="10">
        <f t="shared" si="6"/>
        <v>0</v>
      </c>
      <c r="E51" s="11"/>
      <c r="F51" s="4"/>
      <c r="G51" s="11">
        <f t="shared" si="7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5.4">
      <c r="A52" s="4"/>
      <c r="B52" s="4"/>
      <c r="C52" s="11"/>
      <c r="D52" s="10">
        <f t="shared" si="6"/>
        <v>0</v>
      </c>
      <c r="E52" s="11"/>
      <c r="F52" s="4"/>
      <c r="G52" s="11">
        <f t="shared" si="7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5.4">
      <c r="A53" s="4"/>
      <c r="B53" s="4"/>
      <c r="C53" s="9"/>
      <c r="D53" s="10">
        <f t="shared" si="6"/>
        <v>0</v>
      </c>
      <c r="E53" s="11"/>
      <c r="F53" s="4"/>
      <c r="G53" s="14">
        <f t="shared" si="7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5.4">
      <c r="A54" s="5"/>
      <c r="B54" s="5"/>
      <c r="C54" s="5"/>
      <c r="D54" s="5"/>
      <c r="E54" s="5"/>
      <c r="F54" s="5"/>
      <c r="G54" s="15">
        <f>SUM(G43:G53)</f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.4">
      <c r="A55" s="6"/>
      <c r="B55" s="7"/>
      <c r="C55" s="7"/>
      <c r="D55" s="7"/>
      <c r="E55" s="7"/>
      <c r="F55" s="7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.4">
      <c r="A56" s="8"/>
      <c r="B56" s="4" t="s">
        <v>31</v>
      </c>
      <c r="C56" s="9">
        <v>7.98</v>
      </c>
      <c r="D56" s="11">
        <f>C56-E56</f>
        <v>0</v>
      </c>
      <c r="E56" s="9">
        <v>7.98</v>
      </c>
      <c r="F56" s="4" t="s">
        <v>14</v>
      </c>
      <c r="G56" s="11">
        <f t="shared" ref="G56:G66" si="8">IF(F56="Approved",E56,0)</f>
        <v>7.98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.4">
      <c r="A57" s="4"/>
      <c r="B57" s="4" t="s">
        <v>287</v>
      </c>
      <c r="C57" s="11">
        <v>5</v>
      </c>
      <c r="D57" s="10">
        <f t="shared" ref="D57:D66" si="9">C57-E57</f>
        <v>0</v>
      </c>
      <c r="E57" s="11">
        <v>5</v>
      </c>
      <c r="F57" s="4" t="s">
        <v>14</v>
      </c>
      <c r="G57" s="11">
        <f t="shared" si="8"/>
        <v>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.4">
      <c r="A58" s="4"/>
      <c r="B58" s="4" t="s">
        <v>165</v>
      </c>
      <c r="C58" s="11">
        <v>60.7</v>
      </c>
      <c r="D58" s="10">
        <f t="shared" si="9"/>
        <v>60.7</v>
      </c>
      <c r="E58" s="11"/>
      <c r="F58" s="4"/>
      <c r="G58" s="11">
        <f t="shared" si="8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.4">
      <c r="A59" s="4"/>
      <c r="B59" s="4" t="s">
        <v>81</v>
      </c>
      <c r="C59" s="11">
        <v>592</v>
      </c>
      <c r="D59" s="10">
        <f t="shared" si="9"/>
        <v>592</v>
      </c>
      <c r="E59" s="11"/>
      <c r="F59" s="4"/>
      <c r="G59" s="11">
        <f t="shared" si="8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.4">
      <c r="A60" s="4"/>
      <c r="B60" s="4" t="s">
        <v>21</v>
      </c>
      <c r="C60" s="11">
        <v>14</v>
      </c>
      <c r="D60" s="10">
        <f t="shared" si="9"/>
        <v>14</v>
      </c>
      <c r="E60" s="11"/>
      <c r="F60" s="4"/>
      <c r="G60" s="11">
        <f t="shared" si="8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.4">
      <c r="A61" s="4"/>
      <c r="B61" s="4"/>
      <c r="C61" s="11"/>
      <c r="D61" s="10">
        <f t="shared" si="9"/>
        <v>0</v>
      </c>
      <c r="E61" s="11"/>
      <c r="F61" s="4"/>
      <c r="G61" s="11">
        <f t="shared" si="8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.4">
      <c r="A62" s="4"/>
      <c r="B62" s="4"/>
      <c r="C62" s="11"/>
      <c r="D62" s="10">
        <f t="shared" si="9"/>
        <v>0</v>
      </c>
      <c r="E62" s="11"/>
      <c r="F62" s="4"/>
      <c r="G62" s="11">
        <f t="shared" si="8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.4">
      <c r="A63" s="4"/>
      <c r="B63" s="4"/>
      <c r="C63" s="11"/>
      <c r="D63" s="10">
        <f t="shared" si="9"/>
        <v>0</v>
      </c>
      <c r="E63" s="11"/>
      <c r="F63" s="4"/>
      <c r="G63" s="11">
        <f t="shared" si="8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.4">
      <c r="A64" s="4"/>
      <c r="B64" s="4"/>
      <c r="C64" s="11"/>
      <c r="D64" s="10">
        <f t="shared" si="9"/>
        <v>0</v>
      </c>
      <c r="E64" s="11"/>
      <c r="F64" s="4"/>
      <c r="G64" s="11">
        <f t="shared" si="8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.4">
      <c r="A65" s="4"/>
      <c r="B65" s="4"/>
      <c r="C65" s="11"/>
      <c r="D65" s="10">
        <f t="shared" si="9"/>
        <v>0</v>
      </c>
      <c r="E65" s="11"/>
      <c r="F65" s="4"/>
      <c r="G65" s="11">
        <f t="shared" si="8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5.4">
      <c r="A66" s="4"/>
      <c r="B66" s="4"/>
      <c r="C66" s="9"/>
      <c r="D66" s="10">
        <f t="shared" si="9"/>
        <v>0</v>
      </c>
      <c r="E66" s="11"/>
      <c r="F66" s="4"/>
      <c r="G66" s="14">
        <f t="shared" si="8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.4">
      <c r="A67" s="5"/>
      <c r="B67" s="5"/>
      <c r="C67" s="5"/>
      <c r="D67" s="5"/>
      <c r="E67" s="5"/>
      <c r="F67" s="5"/>
      <c r="G67" s="15">
        <f>SUM(G56:G66)</f>
        <v>12.98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.4">
      <c r="A68" s="6"/>
      <c r="B68" s="7"/>
      <c r="C68" s="7"/>
      <c r="D68" s="7"/>
      <c r="E68" s="7"/>
      <c r="F68" s="7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.4">
      <c r="A69" s="8"/>
      <c r="B69" s="4" t="s">
        <v>165</v>
      </c>
      <c r="C69" s="9">
        <v>34.020000000000003</v>
      </c>
      <c r="D69" s="10" t="e">
        <f t="shared" ref="D69:D79" si="10">C69-E69</f>
        <v>#VALUE!</v>
      </c>
      <c r="E69" s="9" t="s">
        <v>57</v>
      </c>
      <c r="F69" s="4"/>
      <c r="G69" s="11">
        <f t="shared" ref="G69:G79" si="11">IF(F69="Approved",E69,0)</f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.4">
      <c r="A70" s="4"/>
      <c r="B70" s="48" t="s">
        <v>288</v>
      </c>
      <c r="C70" s="11">
        <v>124.8</v>
      </c>
      <c r="D70" s="10">
        <f t="shared" si="10"/>
        <v>0</v>
      </c>
      <c r="E70" s="11">
        <v>124.8</v>
      </c>
      <c r="F70" s="4" t="s">
        <v>14</v>
      </c>
      <c r="G70" s="11">
        <f t="shared" si="11"/>
        <v>124.8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.4">
      <c r="A71" s="4"/>
      <c r="B71" s="4" t="s">
        <v>289</v>
      </c>
      <c r="C71" s="11">
        <v>175</v>
      </c>
      <c r="D71" s="10">
        <f t="shared" si="10"/>
        <v>0</v>
      </c>
      <c r="E71" s="11">
        <v>175</v>
      </c>
      <c r="F71" s="4" t="s">
        <v>14</v>
      </c>
      <c r="G71" s="11">
        <f t="shared" si="11"/>
        <v>175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.4">
      <c r="A72" s="4"/>
      <c r="B72" s="45" t="s">
        <v>81</v>
      </c>
      <c r="C72" s="46">
        <v>1200</v>
      </c>
      <c r="D72" s="47">
        <f t="shared" si="10"/>
        <v>1200</v>
      </c>
      <c r="E72" s="46"/>
      <c r="F72" s="4"/>
      <c r="G72" s="11">
        <f t="shared" si="11"/>
        <v>0</v>
      </c>
      <c r="H72" s="4" t="s">
        <v>290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.4">
      <c r="A73" s="4"/>
      <c r="B73" s="4"/>
      <c r="C73" s="11"/>
      <c r="D73" s="10">
        <f t="shared" si="10"/>
        <v>0</v>
      </c>
      <c r="E73" s="11"/>
      <c r="F73" s="4"/>
      <c r="G73" s="11">
        <f t="shared" si="1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.4">
      <c r="A74" s="4"/>
      <c r="B74" s="4"/>
      <c r="C74" s="11"/>
      <c r="D74" s="10">
        <f t="shared" si="10"/>
        <v>0</v>
      </c>
      <c r="E74" s="11"/>
      <c r="F74" s="4"/>
      <c r="G74" s="11">
        <f t="shared" si="1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.4">
      <c r="A75" s="4"/>
      <c r="B75" s="4"/>
      <c r="C75" s="11"/>
      <c r="D75" s="10">
        <f t="shared" si="10"/>
        <v>0</v>
      </c>
      <c r="E75" s="11"/>
      <c r="F75" s="4"/>
      <c r="G75" s="11">
        <f t="shared" si="1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.4">
      <c r="A76" s="4"/>
      <c r="B76" s="4"/>
      <c r="C76" s="11"/>
      <c r="D76" s="10">
        <f t="shared" si="10"/>
        <v>0</v>
      </c>
      <c r="E76" s="11"/>
      <c r="F76" s="4"/>
      <c r="G76" s="11">
        <f t="shared" si="1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.4">
      <c r="A77" s="4"/>
      <c r="B77" s="4"/>
      <c r="C77" s="11"/>
      <c r="D77" s="10">
        <f t="shared" si="10"/>
        <v>0</v>
      </c>
      <c r="E77" s="11"/>
      <c r="F77" s="4"/>
      <c r="G77" s="11">
        <f t="shared" si="1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.4">
      <c r="A78" s="4"/>
      <c r="B78" s="4"/>
      <c r="C78" s="11"/>
      <c r="D78" s="10">
        <f t="shared" si="10"/>
        <v>0</v>
      </c>
      <c r="E78" s="11"/>
      <c r="F78" s="4"/>
      <c r="G78" s="11">
        <f t="shared" si="1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.4">
      <c r="A79" s="4"/>
      <c r="B79" s="4"/>
      <c r="C79" s="9"/>
      <c r="D79" s="10">
        <f t="shared" si="10"/>
        <v>0</v>
      </c>
      <c r="E79" s="11"/>
      <c r="F79" s="4"/>
      <c r="G79" s="14">
        <f t="shared" si="1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.4">
      <c r="A80" s="5"/>
      <c r="B80" s="5"/>
      <c r="C80" s="5"/>
      <c r="D80" s="5"/>
      <c r="E80" s="5"/>
      <c r="F80" s="5"/>
      <c r="G80" s="15">
        <f>SUM(G69:G79)</f>
        <v>299.8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.4">
      <c r="A81" s="6"/>
      <c r="B81" s="7"/>
      <c r="C81" s="7"/>
      <c r="D81" s="7"/>
      <c r="E81" s="7"/>
      <c r="F81" s="7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.4">
      <c r="A82" s="8"/>
      <c r="B82" s="4" t="s">
        <v>291</v>
      </c>
      <c r="C82" s="9">
        <v>47</v>
      </c>
      <c r="D82" s="10">
        <f t="shared" ref="D82:D92" si="12">C82-E82</f>
        <v>47</v>
      </c>
      <c r="E82" s="9">
        <v>0</v>
      </c>
      <c r="F82" s="4" t="s">
        <v>57</v>
      </c>
      <c r="G82" s="11">
        <f t="shared" ref="G82:G92" si="13">IF(F82="Approved",E82,0)</f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.4">
      <c r="A83" s="4"/>
      <c r="B83" s="4" t="s">
        <v>99</v>
      </c>
      <c r="C83" s="11">
        <v>378</v>
      </c>
      <c r="D83" s="10">
        <f t="shared" si="12"/>
        <v>222</v>
      </c>
      <c r="E83" s="11">
        <v>156</v>
      </c>
      <c r="F83" s="4" t="s">
        <v>14</v>
      </c>
      <c r="G83" s="11">
        <f t="shared" si="13"/>
        <v>156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.4">
      <c r="A84" s="4"/>
      <c r="B84" s="4" t="s">
        <v>165</v>
      </c>
      <c r="C84" s="11">
        <v>417.27</v>
      </c>
      <c r="D84" s="10">
        <f t="shared" si="12"/>
        <v>0</v>
      </c>
      <c r="E84" s="11">
        <v>417.27</v>
      </c>
      <c r="F84" s="4" t="s">
        <v>14</v>
      </c>
      <c r="G84" s="11">
        <f t="shared" si="13"/>
        <v>417.27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.4">
      <c r="A85" s="4"/>
      <c r="B85" s="4" t="s">
        <v>18</v>
      </c>
      <c r="C85" s="11">
        <v>59.42</v>
      </c>
      <c r="D85" s="10">
        <f t="shared" si="12"/>
        <v>0</v>
      </c>
      <c r="E85" s="11">
        <v>59.42</v>
      </c>
      <c r="F85" s="4" t="s">
        <v>14</v>
      </c>
      <c r="G85" s="11">
        <f t="shared" si="13"/>
        <v>59.42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.4">
      <c r="A86" s="4"/>
      <c r="B86" s="4" t="s">
        <v>19</v>
      </c>
      <c r="C86" s="11">
        <v>43.75</v>
      </c>
      <c r="D86" s="10">
        <f t="shared" si="12"/>
        <v>0</v>
      </c>
      <c r="E86" s="11">
        <v>43.75</v>
      </c>
      <c r="F86" s="4" t="s">
        <v>14</v>
      </c>
      <c r="G86" s="11">
        <f t="shared" si="13"/>
        <v>43.75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.4">
      <c r="A87" s="4"/>
      <c r="B87" s="4" t="s">
        <v>210</v>
      </c>
      <c r="C87" s="11">
        <v>26</v>
      </c>
      <c r="D87" s="10">
        <f t="shared" si="12"/>
        <v>0</v>
      </c>
      <c r="E87" s="11">
        <v>26</v>
      </c>
      <c r="F87" s="4" t="s">
        <v>14</v>
      </c>
      <c r="G87" s="11">
        <f t="shared" si="13"/>
        <v>26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.4">
      <c r="A88" s="4"/>
      <c r="B88" s="4"/>
      <c r="C88" s="11"/>
      <c r="D88" s="10">
        <f t="shared" si="12"/>
        <v>0</v>
      </c>
      <c r="E88" s="11"/>
      <c r="F88" s="4"/>
      <c r="G88" s="11">
        <f t="shared" si="13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.4">
      <c r="A89" s="4"/>
      <c r="B89" s="4"/>
      <c r="C89" s="11"/>
      <c r="D89" s="10">
        <f t="shared" si="12"/>
        <v>0</v>
      </c>
      <c r="E89" s="11"/>
      <c r="F89" s="4"/>
      <c r="G89" s="11">
        <f t="shared" si="13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.4">
      <c r="A90" s="4"/>
      <c r="B90" s="4"/>
      <c r="C90" s="11"/>
      <c r="D90" s="10">
        <f t="shared" si="12"/>
        <v>0</v>
      </c>
      <c r="E90" s="11"/>
      <c r="F90" s="4"/>
      <c r="G90" s="11">
        <f t="shared" si="13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.4">
      <c r="A91" s="4"/>
      <c r="B91" s="4"/>
      <c r="C91" s="11"/>
      <c r="D91" s="10">
        <f t="shared" si="12"/>
        <v>0</v>
      </c>
      <c r="E91" s="11"/>
      <c r="F91" s="4"/>
      <c r="G91" s="11">
        <f t="shared" si="13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.4">
      <c r="A92" s="4"/>
      <c r="B92" s="4"/>
      <c r="C92" s="9"/>
      <c r="D92" s="10">
        <f t="shared" si="12"/>
        <v>0</v>
      </c>
      <c r="E92" s="11"/>
      <c r="F92" s="4"/>
      <c r="G92" s="14">
        <f t="shared" si="13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.4">
      <c r="A93" s="5"/>
      <c r="B93" s="5"/>
      <c r="C93" s="5"/>
      <c r="D93" s="5"/>
      <c r="E93" s="5"/>
      <c r="F93" s="5"/>
      <c r="G93" s="15">
        <f>SUM(G82:G92)</f>
        <v>702.43999999999994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.4">
      <c r="A94" s="6"/>
      <c r="B94" s="7"/>
      <c r="C94" s="7"/>
      <c r="D94" s="7"/>
      <c r="E94" s="7"/>
      <c r="F94" s="7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.4">
      <c r="A95" s="8"/>
      <c r="B95" s="4" t="s">
        <v>82</v>
      </c>
      <c r="C95" s="9">
        <v>39.54</v>
      </c>
      <c r="D95" s="10">
        <f t="shared" ref="D95:D105" si="14">C95-E95</f>
        <v>39.54</v>
      </c>
      <c r="E95" s="9"/>
      <c r="F95" s="4"/>
      <c r="G95" s="11">
        <f t="shared" ref="G95:G105" si="15">IF(F95="Approved",E95,0)</f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.4">
      <c r="A96" s="4"/>
      <c r="B96" s="4" t="s">
        <v>15</v>
      </c>
      <c r="C96" s="11">
        <v>95</v>
      </c>
      <c r="D96" s="10">
        <f t="shared" si="14"/>
        <v>16</v>
      </c>
      <c r="E96" s="11">
        <v>79</v>
      </c>
      <c r="F96" s="4" t="s">
        <v>14</v>
      </c>
      <c r="G96" s="11">
        <f t="shared" si="15"/>
        <v>79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30.75">
      <c r="A97" s="4"/>
      <c r="B97" s="49" t="s">
        <v>147</v>
      </c>
      <c r="C97" s="11">
        <v>10</v>
      </c>
      <c r="D97" s="10">
        <f t="shared" si="14"/>
        <v>0</v>
      </c>
      <c r="E97" s="11">
        <v>10</v>
      </c>
      <c r="F97" s="4" t="s">
        <v>14</v>
      </c>
      <c r="G97" s="11">
        <f t="shared" si="15"/>
        <v>10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.4">
      <c r="A98" s="4"/>
      <c r="B98" s="4"/>
      <c r="C98" s="11"/>
      <c r="D98" s="11">
        <f>C98-E98</f>
        <v>0</v>
      </c>
      <c r="E98" s="11"/>
      <c r="F98" s="4"/>
      <c r="G98" s="11">
        <f t="shared" si="15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.4">
      <c r="A99" s="4"/>
      <c r="B99" s="4"/>
      <c r="C99" s="11"/>
      <c r="D99" s="10">
        <f t="shared" si="14"/>
        <v>0</v>
      </c>
      <c r="E99" s="11"/>
      <c r="F99" s="4"/>
      <c r="G99" s="11">
        <f t="shared" si="15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.4">
      <c r="A100" s="4"/>
      <c r="B100" s="4"/>
      <c r="C100" s="11"/>
      <c r="D100" s="10">
        <f t="shared" si="14"/>
        <v>0</v>
      </c>
      <c r="E100" s="11"/>
      <c r="F100" s="4"/>
      <c r="G100" s="11">
        <f t="shared" si="15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.4">
      <c r="A101" s="4"/>
      <c r="B101" s="4"/>
      <c r="C101" s="11"/>
      <c r="D101" s="10">
        <f t="shared" si="14"/>
        <v>0</v>
      </c>
      <c r="E101" s="11"/>
      <c r="F101" s="4"/>
      <c r="G101" s="11">
        <f t="shared" si="15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.4">
      <c r="A102" s="4"/>
      <c r="B102" s="4"/>
      <c r="C102" s="11"/>
      <c r="D102" s="10">
        <f t="shared" si="14"/>
        <v>0</v>
      </c>
      <c r="E102" s="11"/>
      <c r="F102" s="4"/>
      <c r="G102" s="11">
        <f t="shared" si="15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.4">
      <c r="A103" s="4"/>
      <c r="B103" s="4"/>
      <c r="C103" s="11"/>
      <c r="D103" s="10">
        <f t="shared" si="14"/>
        <v>0</v>
      </c>
      <c r="E103" s="11"/>
      <c r="F103" s="4"/>
      <c r="G103" s="11">
        <f t="shared" si="15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.4">
      <c r="A104" s="4"/>
      <c r="B104" s="4"/>
      <c r="C104" s="11"/>
      <c r="D104" s="10">
        <f t="shared" si="14"/>
        <v>0</v>
      </c>
      <c r="E104" s="11"/>
      <c r="F104" s="4"/>
      <c r="G104" s="11">
        <f t="shared" si="15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.4">
      <c r="A105" s="4"/>
      <c r="B105" s="4"/>
      <c r="C105" s="9"/>
      <c r="D105" s="10">
        <f t="shared" si="14"/>
        <v>0</v>
      </c>
      <c r="E105" s="11"/>
      <c r="F105" s="4"/>
      <c r="G105" s="14">
        <f t="shared" si="15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.4">
      <c r="A106" s="5"/>
      <c r="B106" s="5"/>
      <c r="C106" s="5"/>
      <c r="D106" s="5"/>
      <c r="E106" s="5"/>
      <c r="F106" s="5"/>
      <c r="G106" s="15">
        <f>SUM(G95:G105)</f>
        <v>89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.4">
      <c r="A107" s="6"/>
      <c r="B107" s="7"/>
      <c r="C107" s="7"/>
      <c r="D107" s="7"/>
      <c r="E107" s="7"/>
      <c r="F107" s="7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30.75">
      <c r="A108" s="8"/>
      <c r="B108" s="49" t="s">
        <v>292</v>
      </c>
      <c r="C108" s="9">
        <v>500</v>
      </c>
      <c r="D108" s="10">
        <f t="shared" ref="D108:D118" si="16">C108-E108</f>
        <v>500</v>
      </c>
      <c r="E108" s="9"/>
      <c r="F108" s="4"/>
      <c r="G108" s="11">
        <f t="shared" ref="G108:G118" si="17">IF(F108="Approved",E108,0)</f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.4">
      <c r="A109" s="4"/>
      <c r="B109" s="4" t="s">
        <v>152</v>
      </c>
      <c r="C109" s="11">
        <v>242</v>
      </c>
      <c r="D109" s="10">
        <f t="shared" si="16"/>
        <v>242</v>
      </c>
      <c r="E109" s="11"/>
      <c r="F109" s="4"/>
      <c r="G109" s="11">
        <f t="shared" si="17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.4">
      <c r="A110" s="4"/>
      <c r="B110" s="4" t="s">
        <v>25</v>
      </c>
      <c r="C110" s="11">
        <v>1000</v>
      </c>
      <c r="D110" s="10">
        <f t="shared" si="16"/>
        <v>1000</v>
      </c>
      <c r="E110" s="11"/>
      <c r="F110" s="4"/>
      <c r="G110" s="11">
        <f t="shared" si="17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.4">
      <c r="A111" s="4"/>
      <c r="B111" s="4" t="s">
        <v>293</v>
      </c>
      <c r="C111" s="11">
        <v>421</v>
      </c>
      <c r="D111" s="10">
        <f t="shared" si="16"/>
        <v>421</v>
      </c>
      <c r="E111" s="11"/>
      <c r="F111" s="4"/>
      <c r="G111" s="11">
        <f t="shared" si="17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.4">
      <c r="A112" s="4"/>
      <c r="B112" s="4" t="s">
        <v>157</v>
      </c>
      <c r="C112" s="11" t="s">
        <v>141</v>
      </c>
      <c r="D112" s="10" t="e">
        <f t="shared" si="16"/>
        <v>#VALUE!</v>
      </c>
      <c r="E112" s="11"/>
      <c r="F112" s="4"/>
      <c r="G112" s="11">
        <f t="shared" si="17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.4">
      <c r="A113" s="4"/>
      <c r="B113" s="4"/>
      <c r="C113" s="11"/>
      <c r="D113" s="10">
        <f t="shared" si="16"/>
        <v>0</v>
      </c>
      <c r="E113" s="11"/>
      <c r="F113" s="4"/>
      <c r="G113" s="11">
        <f t="shared" si="17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.4">
      <c r="A114" s="4"/>
      <c r="B114" s="4"/>
      <c r="C114" s="11"/>
      <c r="D114" s="10">
        <f t="shared" si="16"/>
        <v>0</v>
      </c>
      <c r="E114" s="11"/>
      <c r="F114" s="4"/>
      <c r="G114" s="11">
        <f t="shared" si="17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.4">
      <c r="A115" s="4"/>
      <c r="B115" s="4"/>
      <c r="C115" s="11"/>
      <c r="D115" s="10">
        <f t="shared" si="16"/>
        <v>0</v>
      </c>
      <c r="E115" s="11"/>
      <c r="F115" s="4"/>
      <c r="G115" s="11">
        <f t="shared" si="17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.4">
      <c r="A116" s="4"/>
      <c r="B116" s="4"/>
      <c r="C116" s="11"/>
      <c r="D116" s="10">
        <f t="shared" si="16"/>
        <v>0</v>
      </c>
      <c r="E116" s="11"/>
      <c r="F116" s="4"/>
      <c r="G116" s="11">
        <f t="shared" si="17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.4">
      <c r="A117" s="4"/>
      <c r="B117" s="4"/>
      <c r="C117" s="11"/>
      <c r="D117" s="10">
        <f t="shared" si="16"/>
        <v>0</v>
      </c>
      <c r="E117" s="11"/>
      <c r="F117" s="4"/>
      <c r="G117" s="11">
        <f t="shared" si="17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.4">
      <c r="A118" s="4"/>
      <c r="B118" s="4"/>
      <c r="C118" s="9"/>
      <c r="D118" s="10">
        <f t="shared" si="16"/>
        <v>0</v>
      </c>
      <c r="E118" s="11"/>
      <c r="F118" s="4"/>
      <c r="G118" s="14">
        <f t="shared" si="17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.4">
      <c r="A119" s="5"/>
      <c r="B119" s="5"/>
      <c r="C119" s="5"/>
      <c r="D119" s="5"/>
      <c r="E119" s="5"/>
      <c r="F119" s="5"/>
      <c r="G119" s="15">
        <f>SUM(G108:G118)</f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.4">
      <c r="A120" s="6"/>
      <c r="B120" s="7"/>
      <c r="C120" s="7"/>
      <c r="D120" s="7"/>
      <c r="E120" s="7"/>
      <c r="F120" s="7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.4">
      <c r="A121" s="8"/>
      <c r="B121" s="4" t="s">
        <v>244</v>
      </c>
      <c r="C121" s="9">
        <v>116.19</v>
      </c>
      <c r="D121" s="10">
        <f t="shared" ref="D121:D131" si="18">C121-E121</f>
        <v>116.19</v>
      </c>
      <c r="E121" s="9"/>
      <c r="F121" s="4"/>
      <c r="G121" s="11">
        <f t="shared" ref="G121:G131" si="19">IF(F121="Approved",E121,0)</f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.4">
      <c r="A122" s="4"/>
      <c r="B122" s="4" t="s">
        <v>31</v>
      </c>
      <c r="C122" s="11">
        <v>74.7</v>
      </c>
      <c r="D122" s="10">
        <f t="shared" si="18"/>
        <v>74.7</v>
      </c>
      <c r="E122" s="11"/>
      <c r="F122" s="4"/>
      <c r="G122" s="11">
        <f t="shared" si="19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.4">
      <c r="A123" s="4"/>
      <c r="B123" s="4"/>
      <c r="C123" s="11"/>
      <c r="D123" s="10">
        <f t="shared" si="18"/>
        <v>0</v>
      </c>
      <c r="E123" s="11"/>
      <c r="F123" s="4"/>
      <c r="G123" s="11">
        <f t="shared" si="19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4">
      <c r="A124" s="4"/>
      <c r="B124" s="4"/>
      <c r="C124" s="11"/>
      <c r="D124" s="10">
        <f t="shared" si="18"/>
        <v>0</v>
      </c>
      <c r="E124" s="11"/>
      <c r="F124" s="4"/>
      <c r="G124" s="11">
        <f t="shared" si="19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4">
      <c r="A125" s="4"/>
      <c r="B125" s="4"/>
      <c r="C125" s="11"/>
      <c r="D125" s="10">
        <f t="shared" si="18"/>
        <v>0</v>
      </c>
      <c r="E125" s="11"/>
      <c r="F125" s="4"/>
      <c r="G125" s="11">
        <f t="shared" si="19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4">
      <c r="A126" s="4"/>
      <c r="B126" s="4"/>
      <c r="C126" s="11"/>
      <c r="D126" s="10">
        <f t="shared" si="18"/>
        <v>0</v>
      </c>
      <c r="E126" s="11"/>
      <c r="F126" s="4"/>
      <c r="G126" s="11">
        <f t="shared" si="19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4">
      <c r="A127" s="4"/>
      <c r="B127" s="4"/>
      <c r="C127" s="11"/>
      <c r="D127" s="10">
        <f t="shared" si="18"/>
        <v>0</v>
      </c>
      <c r="E127" s="11"/>
      <c r="F127" s="4"/>
      <c r="G127" s="11">
        <f t="shared" si="19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4">
      <c r="A128" s="4"/>
      <c r="B128" s="4"/>
      <c r="C128" s="11"/>
      <c r="D128" s="10">
        <f t="shared" si="18"/>
        <v>0</v>
      </c>
      <c r="E128" s="11"/>
      <c r="F128" s="4"/>
      <c r="G128" s="11">
        <f t="shared" si="19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4">
      <c r="A129" s="4"/>
      <c r="B129" s="4"/>
      <c r="C129" s="11"/>
      <c r="D129" s="10">
        <f t="shared" si="18"/>
        <v>0</v>
      </c>
      <c r="E129" s="11"/>
      <c r="F129" s="4"/>
      <c r="G129" s="11">
        <f t="shared" si="19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4">
      <c r="A130" s="4"/>
      <c r="B130" s="4"/>
      <c r="C130" s="11"/>
      <c r="D130" s="10">
        <f t="shared" si="18"/>
        <v>0</v>
      </c>
      <c r="E130" s="11"/>
      <c r="F130" s="4"/>
      <c r="G130" s="11">
        <f t="shared" si="19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4">
      <c r="A131" s="4"/>
      <c r="B131" s="4"/>
      <c r="C131" s="9"/>
      <c r="D131" s="10">
        <f t="shared" si="18"/>
        <v>0</v>
      </c>
      <c r="E131" s="11"/>
      <c r="F131" s="4"/>
      <c r="G131" s="14">
        <f t="shared" si="19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4">
      <c r="A132" s="5"/>
      <c r="B132" s="5"/>
      <c r="C132" s="5"/>
      <c r="D132" s="5"/>
      <c r="E132" s="5"/>
      <c r="F132" s="5"/>
      <c r="G132" s="15">
        <f>SUM(G121:G131)</f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4">
      <c r="A133" s="6"/>
      <c r="B133" s="7"/>
      <c r="C133" s="7"/>
      <c r="D133" s="7"/>
      <c r="E133" s="7"/>
      <c r="F133" s="7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.4">
      <c r="A134" s="8"/>
      <c r="B134" s="4" t="s">
        <v>294</v>
      </c>
      <c r="C134" s="9">
        <v>26.06</v>
      </c>
      <c r="D134" s="10">
        <f t="shared" ref="D134:D144" si="20">C134-E134</f>
        <v>26.06</v>
      </c>
      <c r="E134" s="9">
        <v>0</v>
      </c>
      <c r="F134" s="4" t="s">
        <v>57</v>
      </c>
      <c r="G134" s="11">
        <f t="shared" ref="G134:G144" si="21">IF(F134="Approved",E134,0)</f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4">
      <c r="A135" s="4"/>
      <c r="B135" s="4" t="s">
        <v>295</v>
      </c>
      <c r="C135" s="11">
        <v>60</v>
      </c>
      <c r="D135" s="10">
        <f t="shared" si="20"/>
        <v>0</v>
      </c>
      <c r="E135" s="11">
        <v>60</v>
      </c>
      <c r="F135" s="4" t="s">
        <v>14</v>
      </c>
      <c r="G135" s="11">
        <f t="shared" si="21"/>
        <v>60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4">
      <c r="A136" s="4"/>
      <c r="B136" s="4" t="s">
        <v>295</v>
      </c>
      <c r="C136" s="11">
        <v>9.9499999999999993</v>
      </c>
      <c r="D136" s="10">
        <f t="shared" si="20"/>
        <v>0</v>
      </c>
      <c r="E136" s="11">
        <v>9.9499999999999993</v>
      </c>
      <c r="F136" s="4" t="s">
        <v>14</v>
      </c>
      <c r="G136" s="11">
        <f t="shared" si="21"/>
        <v>9.9499999999999993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4">
      <c r="A137" s="4"/>
      <c r="B137" s="4" t="s">
        <v>295</v>
      </c>
      <c r="C137" s="11">
        <v>10.7</v>
      </c>
      <c r="D137" s="10">
        <f>C137-E137</f>
        <v>0</v>
      </c>
      <c r="E137" s="11">
        <v>10.7</v>
      </c>
      <c r="F137" s="4" t="s">
        <v>14</v>
      </c>
      <c r="G137" s="11">
        <f t="shared" si="21"/>
        <v>10.7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4">
      <c r="A138" s="4"/>
      <c r="B138" s="4" t="s">
        <v>15</v>
      </c>
      <c r="C138" s="11">
        <v>500</v>
      </c>
      <c r="D138" s="10">
        <f t="shared" si="20"/>
        <v>500</v>
      </c>
      <c r="E138" s="11"/>
      <c r="F138" s="4"/>
      <c r="G138" s="11">
        <f t="shared" si="2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.4">
      <c r="A139" s="4"/>
      <c r="B139" s="4" t="s">
        <v>295</v>
      </c>
      <c r="C139" s="11">
        <v>6.61</v>
      </c>
      <c r="D139" s="10">
        <f t="shared" si="20"/>
        <v>6.61</v>
      </c>
      <c r="E139" s="11"/>
      <c r="F139" s="4"/>
      <c r="G139" s="11">
        <f t="shared" si="2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4">
      <c r="A140" s="4"/>
      <c r="B140" s="4" t="s">
        <v>84</v>
      </c>
      <c r="C140" s="11">
        <v>189.2</v>
      </c>
      <c r="D140" s="10">
        <f t="shared" si="20"/>
        <v>0</v>
      </c>
      <c r="E140" s="11">
        <v>189.2</v>
      </c>
      <c r="F140" s="4" t="s">
        <v>14</v>
      </c>
      <c r="G140" s="11">
        <f t="shared" si="21"/>
        <v>189.2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29.25">
      <c r="A141" s="4"/>
      <c r="B141" s="49" t="s">
        <v>194</v>
      </c>
      <c r="C141" s="11">
        <v>66.349999999999994</v>
      </c>
      <c r="D141" s="10">
        <f t="shared" si="20"/>
        <v>0</v>
      </c>
      <c r="E141" s="11">
        <v>66.349999999999994</v>
      </c>
      <c r="F141" s="4" t="s">
        <v>14</v>
      </c>
      <c r="G141" s="11">
        <f t="shared" si="21"/>
        <v>66.349999999999994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4">
      <c r="A142" s="4"/>
      <c r="B142" s="4" t="s">
        <v>18</v>
      </c>
      <c r="C142" s="11">
        <v>0.41</v>
      </c>
      <c r="D142" s="10">
        <f t="shared" si="20"/>
        <v>0.41</v>
      </c>
      <c r="E142" s="11"/>
      <c r="F142" s="4"/>
      <c r="G142" s="11">
        <f t="shared" si="2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4">
      <c r="A143" s="4"/>
      <c r="B143" s="4"/>
      <c r="C143" s="11"/>
      <c r="D143" s="10">
        <f t="shared" si="20"/>
        <v>0</v>
      </c>
      <c r="E143" s="11"/>
      <c r="F143" s="4"/>
      <c r="G143" s="11">
        <f t="shared" si="2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4">
      <c r="A144" s="4"/>
      <c r="B144" s="4"/>
      <c r="C144" s="9"/>
      <c r="D144" s="10">
        <f t="shared" si="20"/>
        <v>0</v>
      </c>
      <c r="E144" s="11"/>
      <c r="F144" s="4"/>
      <c r="G144" s="14">
        <f t="shared" si="2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4">
      <c r="A145" s="5"/>
      <c r="B145" s="5"/>
      <c r="C145" s="5"/>
      <c r="D145" s="5"/>
      <c r="E145" s="5"/>
      <c r="F145" s="5"/>
      <c r="G145" s="15">
        <f>SUM(G134:G144)</f>
        <v>336.20000000000005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4">
      <c r="A146" s="6"/>
      <c r="B146" s="7"/>
      <c r="C146" s="7"/>
      <c r="D146" s="7"/>
      <c r="E146" s="7"/>
      <c r="F146" s="7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4">
      <c r="A147" s="8"/>
      <c r="B147" s="4" t="s">
        <v>30</v>
      </c>
      <c r="C147" s="9">
        <v>3.72</v>
      </c>
      <c r="D147" s="10">
        <f t="shared" ref="D147:D157" si="22">C147-E147</f>
        <v>3.72</v>
      </c>
      <c r="E147" s="9"/>
      <c r="F147" s="4"/>
      <c r="G147" s="11">
        <f t="shared" ref="G147:G157" si="23">IF(F147="Approved",E147,0)</f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>
      <c r="A148" s="4"/>
      <c r="B148" s="49" t="s">
        <v>275</v>
      </c>
      <c r="C148" s="11">
        <v>50</v>
      </c>
      <c r="D148" s="10">
        <f t="shared" si="22"/>
        <v>0</v>
      </c>
      <c r="E148" s="11">
        <v>50</v>
      </c>
      <c r="F148" s="4" t="s">
        <v>14</v>
      </c>
      <c r="G148" s="11">
        <f t="shared" si="23"/>
        <v>50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4">
      <c r="A149" s="4"/>
      <c r="B149" s="4" t="s">
        <v>143</v>
      </c>
      <c r="C149" s="11">
        <v>3.97</v>
      </c>
      <c r="D149" s="10">
        <f t="shared" si="22"/>
        <v>3.97</v>
      </c>
      <c r="E149" s="11"/>
      <c r="F149" s="4"/>
      <c r="G149" s="11">
        <f t="shared" si="23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4">
      <c r="A150" s="4"/>
      <c r="B150" s="4" t="s">
        <v>143</v>
      </c>
      <c r="C150" s="11">
        <v>12.14</v>
      </c>
      <c r="D150" s="10">
        <f t="shared" si="22"/>
        <v>12.14</v>
      </c>
      <c r="E150" s="11"/>
      <c r="F150" s="4"/>
      <c r="G150" s="11">
        <f t="shared" si="23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>
      <c r="A151" s="4"/>
      <c r="B151" s="49"/>
      <c r="C151" s="11"/>
      <c r="D151" s="10">
        <f t="shared" si="22"/>
        <v>0</v>
      </c>
      <c r="E151" s="11"/>
      <c r="F151" s="4"/>
      <c r="G151" s="11">
        <f t="shared" si="23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>
      <c r="A152" s="4"/>
      <c r="B152" s="49"/>
      <c r="C152" s="11"/>
      <c r="D152" s="10">
        <f t="shared" si="22"/>
        <v>0</v>
      </c>
      <c r="E152" s="11"/>
      <c r="F152" s="4"/>
      <c r="G152" s="11">
        <f t="shared" si="23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4">
      <c r="A153" s="4"/>
      <c r="B153" s="4"/>
      <c r="C153" s="11"/>
      <c r="D153" s="10">
        <f t="shared" si="22"/>
        <v>0</v>
      </c>
      <c r="E153" s="11"/>
      <c r="F153" s="4"/>
      <c r="G153" s="11">
        <f t="shared" si="23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4">
      <c r="A154" s="4"/>
      <c r="B154" s="4"/>
      <c r="C154" s="11"/>
      <c r="D154" s="10">
        <f t="shared" si="22"/>
        <v>0</v>
      </c>
      <c r="E154" s="11"/>
      <c r="F154" s="4"/>
      <c r="G154" s="11">
        <f t="shared" si="23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4">
      <c r="A155" s="4"/>
      <c r="B155" s="4"/>
      <c r="C155" s="11"/>
      <c r="D155" s="10">
        <f t="shared" si="22"/>
        <v>0</v>
      </c>
      <c r="E155" s="11"/>
      <c r="F155" s="4"/>
      <c r="G155" s="11">
        <f t="shared" si="23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4">
      <c r="A156" s="4"/>
      <c r="B156" s="4"/>
      <c r="C156" s="11"/>
      <c r="D156" s="10">
        <f t="shared" si="22"/>
        <v>0</v>
      </c>
      <c r="E156" s="11"/>
      <c r="F156" s="4"/>
      <c r="G156" s="11">
        <f t="shared" si="23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4">
      <c r="A157" s="4"/>
      <c r="B157" s="4"/>
      <c r="C157" s="9"/>
      <c r="D157" s="10">
        <f t="shared" si="22"/>
        <v>0</v>
      </c>
      <c r="E157" s="11"/>
      <c r="F157" s="4"/>
      <c r="G157" s="14">
        <f t="shared" si="23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4">
      <c r="A158" s="5"/>
      <c r="B158" s="5"/>
      <c r="C158" s="5"/>
      <c r="D158" s="5"/>
      <c r="E158" s="5"/>
      <c r="F158" s="5"/>
      <c r="G158" s="15">
        <f>SUM(G147:G157)</f>
        <v>50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5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5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5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5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5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5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5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5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5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5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5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5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5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5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5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5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5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5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5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5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5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5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5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5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5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5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5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5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5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5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5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5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5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5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5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5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5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5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5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5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5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5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5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5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5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5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5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5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5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5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5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5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5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5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5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5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5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5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5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5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5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5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5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5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5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5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5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5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5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5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5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5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5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5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5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5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5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5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5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5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5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5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5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5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5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5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5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5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5.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5.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5.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5.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</sheetData>
  <dataValidations count="1">
    <dataValidation type="list" allowBlank="1" showErrorMessage="1" sqref="F4:F14 F121:F131 F17:F27 F30:F40 F43:F53 F56:F66 F147:F157 F82:F92 F95:F105 F108:F118 F69:F79 F134:F144" xr:uid="{00000000-0002-0000-0100-000000000000}">
      <formula1>"Approved,Denied,TBD"</formula1>
    </dataValidation>
  </dataValidation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25C6B72AD4DB41A9B4004596F4254F" ma:contentTypeVersion="12" ma:contentTypeDescription="Create a new document." ma:contentTypeScope="" ma:versionID="6a16b2fa30eff5dc9bcb1ede35f53493">
  <xsd:schema xmlns:xsd="http://www.w3.org/2001/XMLSchema" xmlns:xs="http://www.w3.org/2001/XMLSchema" xmlns:p="http://schemas.microsoft.com/office/2006/metadata/properties" xmlns:ns2="3a1672b4-771e-47a6-998d-53e94d36b506" xmlns:ns3="c00990b3-2002-40c3-bb1c-87c408ecb3cf" targetNamespace="http://schemas.microsoft.com/office/2006/metadata/properties" ma:root="true" ma:fieldsID="766e03e1ee916880218bebe1b3c98226" ns2:_="" ns3:_="">
    <xsd:import namespace="3a1672b4-771e-47a6-998d-53e94d36b506"/>
    <xsd:import namespace="c00990b3-2002-40c3-bb1c-87c408ecb3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672b4-771e-47a6-998d-53e94d36b5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52586c-27ab-4ec5-821d-30b0f32160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990b3-2002-40c3-bb1c-87c408ecb3c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e9d184-3434-43bb-99f8-ae4e162da03a}" ma:internalName="TaxCatchAll" ma:showField="CatchAllData" ma:web="c00990b3-2002-40c3-bb1c-87c408ecb3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1672b4-771e-47a6-998d-53e94d36b506">
      <Terms xmlns="http://schemas.microsoft.com/office/infopath/2007/PartnerControls"/>
    </lcf76f155ced4ddcb4097134ff3c332f>
    <TaxCatchAll xmlns="c00990b3-2002-40c3-bb1c-87c408ecb3cf" xsi:nil="true"/>
  </documentManagement>
</p:properties>
</file>

<file path=customXml/itemProps1.xml><?xml version="1.0" encoding="utf-8"?>
<ds:datastoreItem xmlns:ds="http://schemas.openxmlformats.org/officeDocument/2006/customXml" ds:itemID="{7A8D0B2C-ECFC-4EDA-9F9B-AD5A6D652893}"/>
</file>

<file path=customXml/itemProps2.xml><?xml version="1.0" encoding="utf-8"?>
<ds:datastoreItem xmlns:ds="http://schemas.openxmlformats.org/officeDocument/2006/customXml" ds:itemID="{7A262483-DDED-426B-8058-7CCFBAA92689}"/>
</file>

<file path=customXml/itemProps3.xml><?xml version="1.0" encoding="utf-8"?>
<ds:datastoreItem xmlns:ds="http://schemas.openxmlformats.org/officeDocument/2006/customXml" ds:itemID="{C2807AC0-9AAF-4593-A9EA-D01E1C9C88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2025-08-31T23:47:46Z</dcterms:created>
  <dcterms:modified xsi:type="dcterms:W3CDTF">2026-01-09T19:29:43Z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0x0101007225C6B72AD4DB41A9B4004596F4254F</vt:lpwstr>
  </property>
  <property fmtid="{D5CDD505-2E9C-101B-9397-08002B2CF9AE}" pid="3" name="MediaServiceImageTags">
    <vt:lpwstr/>
  </property>
  <property fmtid="{D5CDD505-2E9C-101B-9397-08002B2CF9AE}" pid="4" name="MSIP_Label_a73fd474-4f3c-44ed-88fb-5cc4bd2471bf_Enabled">
    <vt:lpwstr>true</vt:lpwstr>
  </property>
  <property fmtid="{D5CDD505-2E9C-101B-9397-08002B2CF9AE}" pid="5" name="MSIP_Label_a73fd474-4f3c-44ed-88fb-5cc4bd2471bf_SetDate">
    <vt:lpwstr>2025-09-28T18:13:22Z</vt:lpwstr>
  </property>
  <property fmtid="{D5CDD505-2E9C-101B-9397-08002B2CF9AE}" pid="6" name="MSIP_Label_a73fd474-4f3c-44ed-88fb-5cc4bd2471bf_Method">
    <vt:lpwstr>Standard</vt:lpwstr>
  </property>
  <property fmtid="{D5CDD505-2E9C-101B-9397-08002B2CF9AE}" pid="7" name="MSIP_Label_a73fd474-4f3c-44ed-88fb-5cc4bd2471bf_Name">
    <vt:lpwstr>defa4170-0d19-0005-0004-bc88714345d2</vt:lpwstr>
  </property>
  <property fmtid="{D5CDD505-2E9C-101B-9397-08002B2CF9AE}" pid="8" name="MSIP_Label_a73fd474-4f3c-44ed-88fb-5cc4bd2471bf_SiteId">
    <vt:lpwstr>8d1a69ec-03b5-4345-ae21-dad112f5fb4f</vt:lpwstr>
  </property>
  <property fmtid="{D5CDD505-2E9C-101B-9397-08002B2CF9AE}" pid="9" name="MSIP_Label_a73fd474-4f3c-44ed-88fb-5cc4bd2471bf_ActionId">
    <vt:lpwstr>62a09830-8473-4020-88cd-80ab7f27d87a</vt:lpwstr>
  </property>
  <property fmtid="{D5CDD505-2E9C-101B-9397-08002B2CF9AE}" pid="10" name="MSIP_Label_a73fd474-4f3c-44ed-88fb-5cc4bd2471bf_ContentBits">
    <vt:lpwstr>0</vt:lpwstr>
  </property>
  <property fmtid="{D5CDD505-2E9C-101B-9397-08002B2CF9AE}" pid="11" name="MSIP_Label_a73fd474-4f3c-44ed-88fb-5cc4bd2471bf_Tag">
    <vt:lpwstr>10, 3, 0, 1</vt:lpwstr>
  </property>
</Properties>
</file>